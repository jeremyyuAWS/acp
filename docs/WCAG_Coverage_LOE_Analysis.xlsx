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Coverage Matrix"/>
    <sheet r:id="rId3" sheetId="3" name="By Tier"/>
  </sheets>
  <definedNames>
    <definedName name="_xlnm._FilterDatabase" localSheetId="1">'Coverage Matrix'!$A$1:$O$88</definedName>
  </definedNames>
  <calcPr fullCalcOnLoad="1"/>
</workbook>
</file>

<file path=xl/sharedStrings.xml><?xml version="1.0" encoding="utf-8"?>
<sst xmlns="http://schemas.openxmlformats.org/spreadsheetml/2006/main" count="1121" uniqueCount="400">
  <si>
    <t>Build tier</t>
  </si>
  <si>
    <t>Net-new</t>
  </si>
  <si>
    <t>LOE low (d)</t>
  </si>
  <si>
    <t>LOE high (d)</t>
  </si>
  <si>
    <t>Meaning</t>
  </si>
  <si>
    <t>Tier 1 · Deterministic</t>
  </si>
  <si>
    <t>Rule on parsed document model; ×4 formats</t>
  </si>
  <si>
    <t>Tier 2 · Agentic AI</t>
  </si>
  <si>
    <t>LLM evaluator + golden evals + confidence + HITL escalation</t>
  </si>
  <si>
    <t>Tier 3 · HITL workflow</t>
  </si>
  <si>
    <t>Detector + routed human review + evidence capture</t>
  </si>
  <si>
    <t>SC</t>
  </si>
  <si>
    <t>Success Criterion</t>
  </si>
  <si>
    <t>Level</t>
  </si>
  <si>
    <t>Added In</t>
  </si>
  <si>
    <t>Legal</t>
  </si>
  <si>
    <t>Principle</t>
  </si>
  <si>
    <t>Validation Approach</t>
  </si>
  <si>
    <t>Coverage Source</t>
  </si>
  <si>
    <t>Build Tier</t>
  </si>
  <si>
    <t>Phase</t>
  </si>
  <si>
    <t>Requirement</t>
  </si>
  <si>
    <t>How to Test</t>
  </si>
  <si>
    <t>Notes</t>
  </si>
  <si>
    <t>1.1.1</t>
  </si>
  <si>
    <t>Non-text Content</t>
  </si>
  <si>
    <t>A</t>
  </si>
  <si>
    <t>2.0</t>
  </si>
  <si>
    <t>Required</t>
  </si>
  <si>
    <t>Perceivable</t>
  </si>
  <si>
    <t>Automated + Agentic</t>
  </si>
  <si>
    <t>Shipped (demo)</t>
  </si>
  <si>
    <t>—</t>
  </si>
  <si>
    <t>All non-text content (images, icons, charts, controls) has a text alternative serving the equivalent purpose; decorative images are marked as such.</t>
  </si>
  <si>
    <t>Check alt text; verify with a screen reader (NVDA/VoiceOver); confirm decorative images use null alt / aria-hidden.</t>
  </si>
  <si>
    <t>1.2.1</t>
  </si>
  <si>
    <t>Audio-only &amp; Video-only (Prerecorded)</t>
  </si>
  <si>
    <t>Human / AT</t>
  </si>
  <si>
    <t>MDK net-new</t>
  </si>
  <si>
    <t>Phase 2 · HITL (Req. A/AA)</t>
  </si>
  <si>
    <t>Provide a transcript for prerecorded audio-only and a transcript or audio track for prerecorded video-only.</t>
  </si>
  <si>
    <t>Manual media review; confirm transcript/description is present.</t>
  </si>
  <si>
    <t>1.2.2</t>
  </si>
  <si>
    <t>Captions (Prerecorded)</t>
  </si>
  <si>
    <t>Synchronized captions for all prerecorded audio in video.</t>
  </si>
  <si>
    <t>Play media; verify accurate, synchronized captions.</t>
  </si>
  <si>
    <t>1.2.3</t>
  </si>
  <si>
    <t>Audio Description or Media Alternative (Prerecorded)</t>
  </si>
  <si>
    <t>Audio description or full text alternative for prerecorded video.</t>
  </si>
  <si>
    <t>Manual review for an audio-description track or transcript.</t>
  </si>
  <si>
    <t>1.2.4</t>
  </si>
  <si>
    <t>Captions (Live)</t>
  </si>
  <si>
    <t>AA</t>
  </si>
  <si>
    <t>Real-time captions for live audio content.</t>
  </si>
  <si>
    <t>Verify live captioning on streamed/live media.</t>
  </si>
  <si>
    <t>1.2.5</t>
  </si>
  <si>
    <t>Audio Description (Prerecorded)</t>
  </si>
  <si>
    <t>Audio description provided for all prerecorded video.</t>
  </si>
  <si>
    <t>Confirm a described audio track exists.</t>
  </si>
  <si>
    <t>1.2.6</t>
  </si>
  <si>
    <t>Sign Language (Prerecorded)</t>
  </si>
  <si>
    <t>AAA</t>
  </si>
  <si>
    <t>Optional</t>
  </si>
  <si>
    <t>Phase 3 · Optional / AAA</t>
  </si>
  <si>
    <t>Sign-language interpretation for prerecorded audio.</t>
  </si>
  <si>
    <t>Manual review.</t>
  </si>
  <si>
    <t>1.2.7</t>
  </si>
  <si>
    <t>Extended Audio Description (Prerecorded)</t>
  </si>
  <si>
    <t>Extended audio description where pauses in dialogue are insufficient.</t>
  </si>
  <si>
    <t>1.2.8</t>
  </si>
  <si>
    <t>Media Alternative (Prerecorded)</t>
  </si>
  <si>
    <t>Full text alternative for prerecorded synchronized media.</t>
  </si>
  <si>
    <t>Confirm a complete transcript.</t>
  </si>
  <si>
    <t>1.2.9</t>
  </si>
  <si>
    <t>Audio-only (Live)</t>
  </si>
  <si>
    <t>Text alternative for live audio-only content.</t>
  </si>
  <si>
    <t>1.3.1</t>
  </si>
  <si>
    <t>Info and Relationships</t>
  </si>
  <si>
    <t>Structure/relationships shown visually are available programmatically (headings, lists, tables, form labels).</t>
  </si>
  <si>
    <t>Inspect semantic markup/ARIA; screen-reader test; automated scan (axe).</t>
  </si>
  <si>
    <t>1.3.2</t>
  </si>
  <si>
    <t>Meaningful Sequence</t>
  </si>
  <si>
    <t>DOM reading/navigation order is logical and correct.</t>
  </si>
  <si>
    <t>Disable CSS or use a screen reader to verify order.</t>
  </si>
  <si>
    <t>1.3.3</t>
  </si>
  <si>
    <t>Sensory Characteristics</t>
  </si>
  <si>
    <t>Phase 1 · Agentic (Req. A/AA)</t>
  </si>
  <si>
    <t>Instructions don't rely solely on shape, size, location, or sound (e.g. 'click the round button').</t>
  </si>
  <si>
    <t>Manual review of instructional text.</t>
  </si>
  <si>
    <t>1.3.4</t>
  </si>
  <si>
    <t>Orientation</t>
  </si>
  <si>
    <t>2.1</t>
  </si>
  <si>
    <t>Automated</t>
  </si>
  <si>
    <t>Partner baseline</t>
  </si>
  <si>
    <t>Content not locked to one orientation (portrait/landscape) unless essential.</t>
  </si>
  <si>
    <t>Rotate device/viewport; confirm content adapts.</t>
  </si>
  <si>
    <t>Partner provides for web; net-new only for PDF/Office formats</t>
  </si>
  <si>
    <t>1.3.5</t>
  </si>
  <si>
    <t>Identify Input Purpose</t>
  </si>
  <si>
    <t>Inputs collecting user info use appropriate autocomplete tokens.</t>
  </si>
  <si>
    <t>Inspect autocomplete attributes on form fields.</t>
  </si>
  <si>
    <t>1.3.6</t>
  </si>
  <si>
    <t>Identify Purpose</t>
  </si>
  <si>
    <t>Purpose of UI components, icons, and regions is programmatically determinable.</t>
  </si>
  <si>
    <t>Inspect ARIA/landmark markup.</t>
  </si>
  <si>
    <t>1.4.1</t>
  </si>
  <si>
    <t>Use of Color</t>
  </si>
  <si>
    <t>Color is not the only means of conveying information (errors, links, states).</t>
  </si>
  <si>
    <t>Manual review; grayscale check.</t>
  </si>
  <si>
    <t>1.4.2</t>
  </si>
  <si>
    <t>Audio Control</t>
  </si>
  <si>
    <t>Auto-playing audio over 3s can be paused/stopped or volume controlled.</t>
  </si>
  <si>
    <t>Verify a pause/stop control on autoplay audio.</t>
  </si>
  <si>
    <t>1.4.3</t>
  </si>
  <si>
    <t>Contrast (Minimum)</t>
  </si>
  <si>
    <t>Text contrast &gt;= 4.5:1 (&gt;= 3:1 for large text: 18pt, or 14pt bold).</t>
  </si>
  <si>
    <t>Use a contrast analyzer on text/background pairs.</t>
  </si>
  <si>
    <t>1.4.4</t>
  </si>
  <si>
    <t>Resize Text</t>
  </si>
  <si>
    <t>Text resizable to 200% without loss of content or function.</t>
  </si>
  <si>
    <t>Zoom browser to 200%; check for clipping/overlap.</t>
  </si>
  <si>
    <t>1.4.5</t>
  </si>
  <si>
    <t>Images of Text</t>
  </si>
  <si>
    <t>Use real text rather than images of text (except logos/essential cases).</t>
  </si>
  <si>
    <t>Identify text rendered as images.</t>
  </si>
  <si>
    <t>1.4.6</t>
  </si>
  <si>
    <t>Contrast (Enhanced)</t>
  </si>
  <si>
    <t>Text contrast &gt;= 7:1 (&gt;= 4.5:1 for large text).</t>
  </si>
  <si>
    <t>Contrast analyzer.</t>
  </si>
  <si>
    <t>1.4.7</t>
  </si>
  <si>
    <t>Low or No Background Audio</t>
  </si>
  <si>
    <t>Background audio behind speech is low/absent or can be turned off.</t>
  </si>
  <si>
    <t>1.4.8</t>
  </si>
  <si>
    <t>Visual Presentation</t>
  </si>
  <si>
    <t>User control over text blocks: colors, width &lt;= 80 chars, spacing, no justification.</t>
  </si>
  <si>
    <t>Manual review / user-setting test.</t>
  </si>
  <si>
    <t>1.4.9</t>
  </si>
  <si>
    <t>Images of Text (No Exception)</t>
  </si>
  <si>
    <t>No images of text except where essential (e.g. logos).</t>
  </si>
  <si>
    <t>1.4.10</t>
  </si>
  <si>
    <t>Reflow</t>
  </si>
  <si>
    <t>Content reflows to 320 CSS px wide without 2-D scrolling (1280px at 400% zoom).</t>
  </si>
  <si>
    <t>Zoom to 400% / 320px viewport; check for horizontal scroll.</t>
  </si>
  <si>
    <t>1.4.11</t>
  </si>
  <si>
    <t>Non-text Contrast</t>
  </si>
  <si>
    <t>UI components and graphics have &gt;= 3:1 contrast against adjacent colors.</t>
  </si>
  <si>
    <t>Contrast analyzer on buttons, borders, icons, focus rings.</t>
  </si>
  <si>
    <t>1.4.12</t>
  </si>
  <si>
    <t>Text Spacing</t>
  </si>
  <si>
    <t>No loss of content when user overrides line/letter/word/paragraph spacing.</t>
  </si>
  <si>
    <t>Apply text-spacing bookmarklet; check for clipping.</t>
  </si>
  <si>
    <t>1.4.13</t>
  </si>
  <si>
    <t>Content on Hover or Focus</t>
  </si>
  <si>
    <t>Hover/focus content (tooltips, popovers) is dismissible, hoverable, and persistent.</t>
  </si>
  <si>
    <t>Test tooltips/menus with both keyboard and pointer.</t>
  </si>
  <si>
    <t>2.1.1</t>
  </si>
  <si>
    <t>Keyboard</t>
  </si>
  <si>
    <t>Operable</t>
  </si>
  <si>
    <t>All functionality is operable via keyboard.</t>
  </si>
  <si>
    <t>Tab/arrow through all controls with no mouse.</t>
  </si>
  <si>
    <t>2.1.2</t>
  </si>
  <si>
    <t>No Keyboard Trap</t>
  </si>
  <si>
    <t>Keyboard focus can always move away from a component.</t>
  </si>
  <si>
    <t>Tab into and out of every widget/modal.</t>
  </si>
  <si>
    <t>2.1.3</t>
  </si>
  <si>
    <t>Keyboard (No Exception)</t>
  </si>
  <si>
    <t>All functionality keyboard-operable with no timing exceptions.</t>
  </si>
  <si>
    <t>Keyboard-only test.</t>
  </si>
  <si>
    <t>2.1.4</t>
  </si>
  <si>
    <t>Character Key Shortcuts</t>
  </si>
  <si>
    <t>Single-character shortcuts can be turned off, remapped, or active only on focus.</t>
  </si>
  <si>
    <t>Test single-key shortcuts; check settings.</t>
  </si>
  <si>
    <t>2.2.1</t>
  </si>
  <si>
    <t>Timing Adjustable</t>
  </si>
  <si>
    <t>Time limits can be turned off, adjusted, or extended.</t>
  </si>
  <si>
    <t>Identify timeouts; verify controls.</t>
  </si>
  <si>
    <t>2.2.2</t>
  </si>
  <si>
    <t>Pause, Stop, Hide</t>
  </si>
  <si>
    <t>Moving/blinking/auto-updating content can be paused, stopped, or hidden.</t>
  </si>
  <si>
    <t>Test carousels, animations, auto-refresh.</t>
  </si>
  <si>
    <t>2.2.3</t>
  </si>
  <si>
    <t>No Timing</t>
  </si>
  <si>
    <t>No time limits except for real-time events.</t>
  </si>
  <si>
    <t>2.2.4</t>
  </si>
  <si>
    <t>Interruptions</t>
  </si>
  <si>
    <t>Interruptions can be postponed or suppressed by the user.</t>
  </si>
  <si>
    <t>2.2.5</t>
  </si>
  <si>
    <t>Re-authenticating</t>
  </si>
  <si>
    <t>After session expiry, data is preserved on re-authentication.</t>
  </si>
  <si>
    <t>Test session timeout then resume.</t>
  </si>
  <si>
    <t>2.2.6</t>
  </si>
  <si>
    <t>Timeouts</t>
  </si>
  <si>
    <t>Users are warned of potential data loss from inactivity timeout.</t>
  </si>
  <si>
    <t>Check for timeout warnings.</t>
  </si>
  <si>
    <t>2.3.1</t>
  </si>
  <si>
    <t>Three Flashes or Below Threshold</t>
  </si>
  <si>
    <t>Nothing flashes more than 3 times per second (or stays below threshold).</t>
  </si>
  <si>
    <t>Review animations/video for flashing.</t>
  </si>
  <si>
    <t>2.3.2</t>
  </si>
  <si>
    <t>Three Flashes</t>
  </si>
  <si>
    <t>No content flashes more than 3 times per second.</t>
  </si>
  <si>
    <t>2.3.3</t>
  </si>
  <si>
    <t>Animation from Interactions</t>
  </si>
  <si>
    <t>Motion animation from interactions can be disabled (prefers-reduced-motion).</t>
  </si>
  <si>
    <t>Test reduced-motion setting.</t>
  </si>
  <si>
    <t>2.4.1</t>
  </si>
  <si>
    <t>Bypass Blocks</t>
  </si>
  <si>
    <t>A skip link or mechanism bypasses repeated blocks of content.</t>
  </si>
  <si>
    <t>Tab from top; verify skip link / landmarks.</t>
  </si>
  <si>
    <t>2.4.2</t>
  </si>
  <si>
    <t>Page Titled</t>
  </si>
  <si>
    <t>Pages have descriptive, unique titles.</t>
  </si>
  <si>
    <t>Inspect the &lt;title&gt; element.</t>
  </si>
  <si>
    <t>2.4.3</t>
  </si>
  <si>
    <t>Focus Order</t>
  </si>
  <si>
    <t>Focus order preserves meaning and operability.</t>
  </si>
  <si>
    <t>Tab through; verify logical order.</t>
  </si>
  <si>
    <t>2.4.4</t>
  </si>
  <si>
    <t>Link Purpose (In Context)</t>
  </si>
  <si>
    <t>Link purpose is clear from text or surrounding context.</t>
  </si>
  <si>
    <t>Review link text ('click here' fails).</t>
  </si>
  <si>
    <t>2.4.5</t>
  </si>
  <si>
    <t>Multiple Ways</t>
  </si>
  <si>
    <t>More than one way to locate a page (nav, search, sitemap).</t>
  </si>
  <si>
    <t>Confirm at least two navigation methods.</t>
  </si>
  <si>
    <t>2.4.6</t>
  </si>
  <si>
    <t>Headings and Labels</t>
  </si>
  <si>
    <t>Headings and labels are descriptive.</t>
  </si>
  <si>
    <t>Review heading/label text.</t>
  </si>
  <si>
    <t>2.4.7</t>
  </si>
  <si>
    <t>Focus Visible</t>
  </si>
  <si>
    <t>Keyboard focus indicator is visible.</t>
  </si>
  <si>
    <t>Tab through; confirm a visible focus ring.</t>
  </si>
  <si>
    <t>2.4.8</t>
  </si>
  <si>
    <t>Location</t>
  </si>
  <si>
    <t>User's location within a set of pages is available (breadcrumbs).</t>
  </si>
  <si>
    <t>Check breadcrumbs / nav state.</t>
  </si>
  <si>
    <t>2.4.9</t>
  </si>
  <si>
    <t>Link Purpose (Link Only)</t>
  </si>
  <si>
    <t>Link purpose is clear from the link text alone.</t>
  </si>
  <si>
    <t>Review link text in isolation.</t>
  </si>
  <si>
    <t>2.4.10</t>
  </si>
  <si>
    <t>Section Headings</t>
  </si>
  <si>
    <t>Section headings organize content.</t>
  </si>
  <si>
    <t>Review heading structure.</t>
  </si>
  <si>
    <t>2.4.11</t>
  </si>
  <si>
    <t>Focus Not Obscured (Minimum)</t>
  </si>
  <si>
    <t>2.2</t>
  </si>
  <si>
    <t>Recommended</t>
  </si>
  <si>
    <t>Focused component is not entirely hidden by author content (sticky headers, cookie banners).</t>
  </si>
  <si>
    <t>Tab through; verify focused element is not fully covered.</t>
  </si>
  <si>
    <t>2.4.12</t>
  </si>
  <si>
    <t>Focus Not Obscured (Enhanced)</t>
  </si>
  <si>
    <t>Focused component is not even partially hidden.</t>
  </si>
  <si>
    <t>Keyboard test.</t>
  </si>
  <si>
    <t>2.4.13</t>
  </si>
  <si>
    <t>Focus Appearance</t>
  </si>
  <si>
    <t>Focus indicator meets minimum size and contrast requirements.</t>
  </si>
  <si>
    <t>Measure focus-indicator area and contrast.</t>
  </si>
  <si>
    <t>2.5.1</t>
  </si>
  <si>
    <t>Pointer Gestures</t>
  </si>
  <si>
    <t>Multipoint/path-based gestures have a single-pointer alternative.</t>
  </si>
  <si>
    <t>Test pinch/swipe features for a tap alternative.</t>
  </si>
  <si>
    <t>2.5.2</t>
  </si>
  <si>
    <t>Pointer Cancellation</t>
  </si>
  <si>
    <t>Down-event doesn't trigger action; action can be aborted/undone (fires on up-event).</t>
  </si>
  <si>
    <t>Press, drag off target, release to cancel.</t>
  </si>
  <si>
    <t>2.5.3</t>
  </si>
  <si>
    <t>Label in Name</t>
  </si>
  <si>
    <t>Accessible name contains the visible label text.</t>
  </si>
  <si>
    <t>Compare visible label vs accessible name; voice-control test.</t>
  </si>
  <si>
    <t>2.5.4</t>
  </si>
  <si>
    <t>Motion Actuation</t>
  </si>
  <si>
    <t>Motion-triggered functions have a UI alternative and can be disabled.</t>
  </si>
  <si>
    <t>Test shake/tilt features for an alternative.</t>
  </si>
  <si>
    <t>2.5.5</t>
  </si>
  <si>
    <t>Target Size (Enhanced)</t>
  </si>
  <si>
    <t>Touch targets are at least 44x44 CSS px.</t>
  </si>
  <si>
    <t>Measure target sizes.</t>
  </si>
  <si>
    <t>2.5.6</t>
  </si>
  <si>
    <t>Concurrent Input Mechanisms</t>
  </si>
  <si>
    <t>Do not restrict input modalities (touch + keyboard + mouse).</t>
  </si>
  <si>
    <t>Test switching input methods.</t>
  </si>
  <si>
    <t>2.5.7</t>
  </si>
  <si>
    <t>Dragging Movements</t>
  </si>
  <si>
    <t>Dragging actions have a single-pointer, non-drag alternative.</t>
  </si>
  <si>
    <t>Test sliders / drag-drop for a click alternative.</t>
  </si>
  <si>
    <t>2.5.8</t>
  </si>
  <si>
    <t>Target Size (Minimum)</t>
  </si>
  <si>
    <t>Pointer targets are at least 24x24 CSS px (or adequate spacing / exceptions).</t>
  </si>
  <si>
    <t>Measure interactive target sizes and spacing.</t>
  </si>
  <si>
    <t>3.1.1</t>
  </si>
  <si>
    <t>Language of Page</t>
  </si>
  <si>
    <t>Understandable</t>
  </si>
  <si>
    <t>Default human language set programmatically (lang attribute).</t>
  </si>
  <si>
    <t>Inspect &lt;html lang&gt;.</t>
  </si>
  <si>
    <t>3.1.2</t>
  </si>
  <si>
    <t>Language of Parts</t>
  </si>
  <si>
    <t>Language of passages/phrases set where it differs from the page default.</t>
  </si>
  <si>
    <t>Inspect lang on foreign-language content.</t>
  </si>
  <si>
    <t>3.1.3</t>
  </si>
  <si>
    <t>Unusual Words</t>
  </si>
  <si>
    <t>Definitions provided for jargon and idioms.</t>
  </si>
  <si>
    <t>3.1.4</t>
  </si>
  <si>
    <t>Abbreviations</t>
  </si>
  <si>
    <t>Expanded form of abbreviations available.</t>
  </si>
  <si>
    <t>3.1.5</t>
  </si>
  <si>
    <t>Reading Level</t>
  </si>
  <si>
    <t>Supplemental content where text exceeds lower-secondary reading level.</t>
  </si>
  <si>
    <t>Readability assessment.</t>
  </si>
  <si>
    <t>3.1.6</t>
  </si>
  <si>
    <t>Pronunciation</t>
  </si>
  <si>
    <t>Pronunciation provided where meaning is otherwise ambiguous.</t>
  </si>
  <si>
    <t>3.2.1</t>
  </si>
  <si>
    <t>On Focus</t>
  </si>
  <si>
    <t>Receiving focus does not trigger a change of context.</t>
  </si>
  <si>
    <t>Tab through; confirm no unexpected changes.</t>
  </si>
  <si>
    <t>3.2.2</t>
  </si>
  <si>
    <t>On Input</t>
  </si>
  <si>
    <t>Changing a setting does not auto-trigger a context change without warning.</t>
  </si>
  <si>
    <t>Test form inputs and selects.</t>
  </si>
  <si>
    <t>3.2.3</t>
  </si>
  <si>
    <t>Consistent Navigation</t>
  </si>
  <si>
    <t>Navigation repeated across pages appears in a consistent order.</t>
  </si>
  <si>
    <t>Compare navigation across pages.</t>
  </si>
  <si>
    <t>3.2.4</t>
  </si>
  <si>
    <t>Consistent Identification</t>
  </si>
  <si>
    <t>Components with the same function are identified consistently.</t>
  </si>
  <si>
    <t>Compare icons/labels across pages.</t>
  </si>
  <si>
    <t>3.2.5</t>
  </si>
  <si>
    <t>Change on Request</t>
  </si>
  <si>
    <t>Context changes only on user request.</t>
  </si>
  <si>
    <t>3.2.6</t>
  </si>
  <si>
    <t>Consistent Help</t>
  </si>
  <si>
    <t>Help mechanisms (contact, chat, FAQ) appear in a consistent relative order across pages.</t>
  </si>
  <si>
    <t>Verify help-location consistency.</t>
  </si>
  <si>
    <t>3.3.1</t>
  </si>
  <si>
    <t>Error Identification</t>
  </si>
  <si>
    <t>Input errors are identified and described in text.</t>
  </si>
  <si>
    <t>Submit an invalid form; check error messaging.</t>
  </si>
  <si>
    <t>3.3.2</t>
  </si>
  <si>
    <t>Labels or Instructions</t>
  </si>
  <si>
    <t>Labels/instructions are provided for user input.</t>
  </si>
  <si>
    <t>Review form fields for labels and hints.</t>
  </si>
  <si>
    <t>3.3.3</t>
  </si>
  <si>
    <t>Error Suggestion</t>
  </si>
  <si>
    <t>Correction suggestions are provided when known.</t>
  </si>
  <si>
    <t>Trigger errors; check for suggestions.</t>
  </si>
  <si>
    <t>3.3.4</t>
  </si>
  <si>
    <t>Error Prevention (Legal, Financial, Data)</t>
  </si>
  <si>
    <t>Submissions are reversible, checked, or confirmed for legal/financial/data actions.</t>
  </si>
  <si>
    <t>Test checkout/submit for a confirm/review step.</t>
  </si>
  <si>
    <t>3.3.5</t>
  </si>
  <si>
    <t>Help</t>
  </si>
  <si>
    <t>Context-sensitive help is available.</t>
  </si>
  <si>
    <t>3.3.6</t>
  </si>
  <si>
    <t>Error Prevention (All)</t>
  </si>
  <si>
    <t>All submissions are reversible, checked, or confirmed.</t>
  </si>
  <si>
    <t>3.3.7</t>
  </si>
  <si>
    <t>Redundant Entry</t>
  </si>
  <si>
    <t>Previously entered info is auto-populated or selectable, not re-entered.</t>
  </si>
  <si>
    <t>Test multi-step forms.</t>
  </si>
  <si>
    <t>3.3.8</t>
  </si>
  <si>
    <t>Accessible Authentication (Minimum)</t>
  </si>
  <si>
    <t>No cognitive-function test (memorize/transcribe) without an alternative; allow paste and password managers.</t>
  </si>
  <si>
    <t>Review login/auth flow; test password-manager paste.</t>
  </si>
  <si>
    <t>3.3.9</t>
  </si>
  <si>
    <t>Accessible Authentication (Enhanced)</t>
  </si>
  <si>
    <t>No cognitive-function test at all (no object-recognition exception).</t>
  </si>
  <si>
    <t>Review auth flow.</t>
  </si>
  <si>
    <t>4.1.1</t>
  </si>
  <si>
    <t>Parsing</t>
  </si>
  <si>
    <t>2.1 (removed in 2.2)</t>
  </si>
  <si>
    <t>Robust</t>
  </si>
  <si>
    <t>OBSOLETE in WCAG 2.2 - always passes. Historically: well-formed markup, no duplicate IDs.</t>
  </si>
  <si>
    <t>Mark N/A for a 2.2-scoped audit; was an HTML-validity check under 2.0/2.1.</t>
  </si>
  <si>
    <t>4.1.2</t>
  </si>
  <si>
    <t>Name, Role, Value</t>
  </si>
  <si>
    <t>UI components expose correct name, role, state, and value to assistive tech (critical for custom/ARIA widgets).</t>
  </si>
  <si>
    <t>Screen-reader test; inspect ARIA; automated scan.</t>
  </si>
  <si>
    <t>4.1.3</t>
  </si>
  <si>
    <t>Status Messages</t>
  </si>
  <si>
    <t>Status messages are conveyed to assistive tech without a focus change (aria-live).</t>
  </si>
  <si>
    <t>Trigger dynamic updates; verify announcement.</t>
  </si>
  <si>
    <t>`</t>
  </si>
  <si>
    <t>87 success criteria, classified by the checklist’s Validation Approach. LOE = net-new engineering beyond partner-provided automated checks. Effort in dev-days (blended senior eng); ≈ weeks = midpoint ÷ 5.</t>
  </si>
  <si>
    <t>KEY FINDING: with the partner covering automated Level A/AA, the net-new gap is almost entirely AGENTIC (AI) + HUMAN-IN-THE-LOOP — not more automated checks. Adjust the “Coverage Source” column against the partner’s real SC list.</t>
  </si>
  <si>
    <t>A · Net-new build by phase  (Required A/AA = Phases 1–2)</t>
  </si>
  <si>
    <t>Criteria</t>
  </si>
  <si>
    <t>≈ weeks</t>
  </si>
  <si>
    <t>B · One-time + conditional workstreams</t>
  </si>
  <si>
    <t>Work item</t>
  </si>
  <si>
    <t>Phase 0 · coverage audit + check contract + golden corpus</t>
  </si>
  <si>
    <t>HITL platform hardening (queue, evidence, sign-off)</t>
  </si>
  <si>
    <t>Conditional · document-format automated parity (if partner is web-only)</t>
  </si>
  <si>
    <t>TOTAL → Required A/AA conformance  (Phases 1–2 + Phase 0 + platform)</t>
  </si>
  <si>
    <t>TOTAL → incl. AAA / Optional (Phase 3)</t>
  </si>
  <si>
    <t>C · Coverage today</t>
  </si>
  <si>
    <t>Coverage source</t>
  </si>
  <si>
    <t>All success criteria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</si>
</sst>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9"/>
      <color theme="1"/>
      <name val="Arial"/>
      <family val="2"/>
    </font>
    <font>
      <sz val="9"/>
      <color rgb="FF262225"/>
      <name val="Arial"/>
      <family val="2"/>
    </font>
    <font>
      <sz val="14"/>
      <color rgb="FF46303f"/>
      <name val="Arial"/>
      <family val="2"/>
    </font>
    <font>
      <sz val="9"/>
      <color rgb="FF6c6470"/>
      <name val="Arial"/>
      <family val="2"/>
    </font>
    <font>
      <sz val="9"/>
      <color rgb="FF8a3b2f"/>
      <name val="Arial"/>
      <family val="2"/>
    </font>
    <font>
      <sz val="11"/>
      <color rgb="FF262225"/>
      <name val="Arial"/>
      <family val="2"/>
    </font>
    <font>
      <sz val="10"/>
      <color rgb="FF26222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46303f"/>
      </patternFill>
    </fill>
    <fill>
      <patternFill patternType="solid">
        <fgColor rgb="FFd9ead3"/>
      </patternFill>
    </fill>
    <fill>
      <patternFill patternType="solid">
        <fgColor rgb="FFffffff"/>
      </patternFill>
    </fill>
    <fill>
      <patternFill patternType="solid">
        <fgColor rgb="FFf6e0df"/>
      </patternFill>
    </fill>
    <fill>
      <patternFill patternType="solid">
        <fgColor rgb="FFf0eef2"/>
      </patternFill>
    </fill>
    <fill>
      <patternFill patternType="solid">
        <fgColor rgb="FFfde2d6"/>
      </patternFill>
    </fill>
    <fill>
      <patternFill patternType="solid">
        <fgColor rgb="FFe8e2ee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e0dae6"/>
      </left>
      <right style="thin">
        <color rgb="FFe0dae6"/>
      </right>
      <top style="thin">
        <color rgb="FFe0dae6"/>
      </top>
      <bottom style="thin">
        <color rgb="FFe0dae6"/>
      </bottom>
      <diagonal/>
    </border>
  </borders>
  <cellStyleXfs count="1">
    <xf numFmtId="0" fontId="0" fillId="0" borderId="0"/>
  </cellStyleXfs>
  <cellXfs count="48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0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wrapText="1"/>
    </xf>
    <xf xfId="0" numFmtId="0" borderId="3" applyBorder="1" fontId="1" applyFont="1" fillId="2" applyFill="1" applyAlignment="1">
      <alignment horizontal="left" wrapText="1"/>
    </xf>
    <xf xfId="0" numFmtId="3" applyNumberFormat="1" borderId="3" applyBorder="1" fontId="1" applyFont="1" fillId="2" applyFill="1" applyAlignment="1">
      <alignment horizontal="left" wrapText="1"/>
    </xf>
    <xf xfId="0" numFmtId="0" borderId="3" applyBorder="1" fontId="3" applyFont="1" fillId="0" applyAlignment="1">
      <alignment horizontal="center"/>
    </xf>
    <xf xfId="0" numFmtId="0" borderId="3" applyBorder="1" fontId="3" applyFont="1" fillId="0" applyAlignment="1">
      <alignment horizontal="left" wrapText="1"/>
    </xf>
    <xf xfId="0" numFmtId="0" borderId="3" applyBorder="1" fontId="3" applyFont="1" fillId="0" applyAlignment="1">
      <alignment horizontal="left"/>
    </xf>
    <xf xfId="0" numFmtId="0" borderId="3" applyBorder="1" fontId="3" applyFont="1" fillId="3" applyFill="1" applyAlignment="1">
      <alignment horizontal="left"/>
    </xf>
    <xf xfId="0" numFmtId="0" borderId="3" applyBorder="1" fontId="3" applyFont="1" fillId="4" applyFill="1" applyAlignment="1">
      <alignment horizontal="left"/>
    </xf>
    <xf xfId="0" numFmtId="3" applyNumberFormat="1" borderId="3" applyBorder="1" fontId="3" applyFont="1" fillId="0" applyAlignment="1">
      <alignment horizontal="center"/>
    </xf>
    <xf xfId="0" numFmtId="0" borderId="3" applyBorder="1" fontId="3" applyFont="1" fillId="5" applyFill="1" applyAlignment="1">
      <alignment horizontal="left"/>
    </xf>
    <xf xfId="0" numFmtId="0" borderId="3" applyBorder="1" fontId="3" applyFont="1" fillId="6" applyFill="1" applyAlignment="1">
      <alignment horizontal="left"/>
    </xf>
    <xf xfId="0" numFmtId="0" borderId="3" applyBorder="1" fontId="3" applyFont="1" fillId="7" applyFill="1" applyAlignment="1">
      <alignment horizontal="left"/>
    </xf>
    <xf xfId="0" numFmtId="0" borderId="3" applyBorder="1" fontId="3" applyFont="1" fillId="8" applyFill="1" applyAlignment="1">
      <alignment horizontal="lef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2" applyBorder="1" fontId="4" applyFont="1" fillId="0" applyAlignment="1">
      <alignment horizontal="lef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2" applyBorder="1" fontId="5" applyFont="1" fillId="0" applyAlignment="1">
      <alignment horizontal="left" wrapText="1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0" borderId="2" applyBorder="1" fontId="6" applyFont="1" fillId="0" applyAlignment="1">
      <alignment horizontal="left" wrapText="1"/>
    </xf>
    <xf xfId="0" numFmtId="0" borderId="0" fontId="0" fillId="0" applyAlignment="1">
      <alignment horizontal="left"/>
    </xf>
    <xf xfId="0" numFmtId="0" borderId="2" applyBorder="1" fontId="7" applyFont="1" fillId="0" applyAlignment="1">
      <alignment horizontal="left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2" applyBorder="1" fontId="8" applyFont="1" fillId="0" applyAlignment="1">
      <alignment horizontal="left"/>
    </xf>
    <xf xfId="0" numFmtId="0" borderId="2" applyBorder="1" fontId="8" applyFont="1" fillId="0" applyAlignment="1">
      <alignment horizontal="center"/>
    </xf>
    <xf xfId="0" numFmtId="3" applyNumberFormat="1" borderId="2" applyBorder="1" fontId="8" applyFont="1" fillId="0" applyAlignment="1">
      <alignment horizontal="center"/>
    </xf>
    <xf xfId="0" numFmtId="0" borderId="2" applyBorder="1" fontId="8" applyFont="1" fillId="0" applyAlignment="1">
      <alignment horizontal="center"/>
    </xf>
    <xf xfId="0" numFmtId="0" borderId="1" applyBorder="1" fontId="8" applyFont="1" fillId="3" applyFill="1" applyAlignment="1">
      <alignment horizontal="left"/>
    </xf>
    <xf xfId="0" numFmtId="3" applyNumberFormat="1" borderId="1" applyBorder="1" fontId="8" applyFont="1" fillId="3" applyFill="1" applyAlignment="1">
      <alignment horizontal="center"/>
    </xf>
    <xf xfId="0" numFmtId="0" borderId="1" applyBorder="1" fontId="8" applyFont="1" fillId="3" applyFill="1" applyAlignment="1">
      <alignment horizontal="center"/>
    </xf>
    <xf xfId="0" numFmtId="0" borderId="1" applyBorder="1" fontId="8" applyFont="1" fillId="8" applyFill="1" applyAlignment="1">
      <alignment horizontal="left"/>
    </xf>
    <xf xfId="0" numFmtId="3" applyNumberFormat="1" borderId="1" applyBorder="1" fontId="8" applyFont="1" fillId="8" applyFill="1" applyAlignment="1">
      <alignment horizontal="center"/>
    </xf>
    <xf xfId="0" numFmtId="0" borderId="1" applyBorder="1" fontId="8" applyFont="1" fillId="8" applyFill="1" applyAlignment="1">
      <alignment horizontal="center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5"/>
  <sheetViews>
    <sheetView workbookViewId="0" tabSelected="1"/>
  </sheetViews>
  <sheetFormatPr defaultRowHeight="15" x14ac:dyDescent="0.25"/>
  <cols>
    <col min="1" max="1" style="46" width="40.005" customWidth="1" bestFit="1"/>
    <col min="2" max="2" style="21" width="16.005" customWidth="1" bestFit="1"/>
    <col min="3" max="3" style="47" width="14.005" customWidth="1" bestFit="1"/>
    <col min="4" max="4" style="47" width="14.005" customWidth="1" bestFit="1"/>
    <col min="5" max="5" style="6" width="16.005" customWidth="1" bestFit="1"/>
  </cols>
  <sheetData>
    <row x14ac:dyDescent="0.25" r="1" customHeight="1" ht="22.5">
      <c r="A1" s="23" t="s">
        <v>384</v>
      </c>
      <c r="B1" s="24"/>
      <c r="C1" s="25"/>
      <c r="D1" s="25"/>
      <c r="E1" s="26"/>
    </row>
    <row x14ac:dyDescent="0.25" r="2" customHeight="1" ht="58.5" customFormat="1" s="8">
      <c r="A2" s="27" t="s">
        <v>385</v>
      </c>
      <c r="B2" s="28"/>
      <c r="C2" s="29"/>
      <c r="D2" s="29"/>
      <c r="E2" s="30"/>
    </row>
    <row x14ac:dyDescent="0.25" r="3" customHeight="1" ht="58.5" customFormat="1" s="8">
      <c r="A3" s="31" t="s">
        <v>386</v>
      </c>
      <c r="B3" s="28"/>
      <c r="C3" s="29"/>
      <c r="D3" s="29"/>
      <c r="E3" s="30"/>
    </row>
    <row x14ac:dyDescent="0.25" r="4" customHeight="1" ht="18">
      <c r="A4" s="32"/>
      <c r="B4" s="24"/>
      <c r="C4" s="25"/>
      <c r="D4" s="25"/>
      <c r="E4" s="26"/>
    </row>
    <row x14ac:dyDescent="0.25" r="5" customHeight="1" ht="18.75">
      <c r="A5" s="33" t="s">
        <v>387</v>
      </c>
      <c r="B5" s="24"/>
      <c r="C5" s="25"/>
      <c r="D5" s="25"/>
      <c r="E5" s="26"/>
    </row>
    <row x14ac:dyDescent="0.25" r="6" customHeight="1" ht="18">
      <c r="A6" s="1" t="s">
        <v>20</v>
      </c>
      <c r="B6" s="34" t="s">
        <v>388</v>
      </c>
      <c r="C6" s="35" t="s">
        <v>2</v>
      </c>
      <c r="D6" s="35" t="s">
        <v>3</v>
      </c>
      <c r="E6" s="34" t="s">
        <v>389</v>
      </c>
    </row>
    <row x14ac:dyDescent="0.25" r="7" customHeight="1" ht="18">
      <c r="A7" s="36" t="s">
        <v>86</v>
      </c>
      <c r="B7" s="37">
        <f>COUNTIF('Coverage Matrix'!J:J,A7)</f>
      </c>
      <c r="C7" s="38">
        <f>SUMIF('Coverage Matrix'!J:J,A7,'Coverage Matrix'!K:K)</f>
      </c>
      <c r="D7" s="38">
        <f>SUMIF('Coverage Matrix'!J:J,A7,'Coverage Matrix'!L:L)</f>
      </c>
      <c r="E7" s="37">
        <f>ROUND(AVERAGE(C7:D7)/5,1)</f>
      </c>
    </row>
    <row x14ac:dyDescent="0.25" r="8" customHeight="1" ht="18">
      <c r="A8" s="36" t="s">
        <v>39</v>
      </c>
      <c r="B8" s="37">
        <f>COUNTIF('Coverage Matrix'!J:J,A8)</f>
      </c>
      <c r="C8" s="38">
        <f>SUMIF('Coverage Matrix'!J:J,A8,'Coverage Matrix'!K:K)</f>
      </c>
      <c r="D8" s="38">
        <f>SUMIF('Coverage Matrix'!J:J,A8,'Coverage Matrix'!L:L)</f>
      </c>
      <c r="E8" s="37">
        <f>ROUND(AVERAGE(C8:D8)/5,1)</f>
      </c>
    </row>
    <row x14ac:dyDescent="0.25" r="9" customHeight="1" ht="18">
      <c r="A9" s="36" t="s">
        <v>63</v>
      </c>
      <c r="B9" s="37">
        <f>COUNTIF('Coverage Matrix'!J:J,A9)</f>
      </c>
      <c r="C9" s="38">
        <f>SUMIF('Coverage Matrix'!J:J,A9,'Coverage Matrix'!K:K)</f>
      </c>
      <c r="D9" s="38">
        <f>SUMIF('Coverage Matrix'!J:J,A9,'Coverage Matrix'!L:L)</f>
      </c>
      <c r="E9" s="37">
        <f>ROUND(AVERAGE(C9:D9)/5,1)</f>
      </c>
    </row>
    <row x14ac:dyDescent="0.25" r="10" customHeight="1" ht="18">
      <c r="A10" s="32"/>
      <c r="B10" s="24"/>
      <c r="C10" s="25"/>
      <c r="D10" s="25"/>
      <c r="E10" s="26"/>
    </row>
    <row x14ac:dyDescent="0.25" r="11" customHeight="1" ht="18.75">
      <c r="A11" s="33" t="s">
        <v>390</v>
      </c>
      <c r="B11" s="24"/>
      <c r="C11" s="25"/>
      <c r="D11" s="25"/>
      <c r="E11" s="26"/>
    </row>
    <row x14ac:dyDescent="0.25" r="12" customHeight="1" ht="18">
      <c r="A12" s="1" t="s">
        <v>391</v>
      </c>
      <c r="B12" s="34" t="s">
        <v>388</v>
      </c>
      <c r="C12" s="35" t="s">
        <v>2</v>
      </c>
      <c r="D12" s="35" t="s">
        <v>3</v>
      </c>
      <c r="E12" s="34" t="s">
        <v>389</v>
      </c>
    </row>
    <row x14ac:dyDescent="0.25" r="13" customHeight="1" ht="18">
      <c r="A13" s="36" t="s">
        <v>392</v>
      </c>
      <c r="B13" s="39" t="s">
        <v>32</v>
      </c>
      <c r="C13" s="38">
        <v>5</v>
      </c>
      <c r="D13" s="38">
        <v>8</v>
      </c>
      <c r="E13" s="37">
        <f>ROUND(AVERAGE(C13:D13)/5,1)</f>
      </c>
    </row>
    <row x14ac:dyDescent="0.25" r="14" customHeight="1" ht="18">
      <c r="A14" s="36" t="s">
        <v>393</v>
      </c>
      <c r="B14" s="39" t="s">
        <v>32</v>
      </c>
      <c r="C14" s="38">
        <v>15</v>
      </c>
      <c r="D14" s="38">
        <v>25</v>
      </c>
      <c r="E14" s="37">
        <f>ROUND(AVERAGE(C14:D14)/5,1)</f>
      </c>
    </row>
    <row x14ac:dyDescent="0.25" r="15" customHeight="1" ht="18">
      <c r="A15" s="36" t="s">
        <v>394</v>
      </c>
      <c r="B15" s="37">
        <f>COUNTIF('Coverage Matrix'!H:H,"Partner baseline")</f>
      </c>
      <c r="C15" s="38">
        <f>B15*1</f>
      </c>
      <c r="D15" s="38">
        <f>B15*2.5</f>
      </c>
      <c r="E15" s="37">
        <f>ROUND(AVERAGE(C15:D15)/5,1)</f>
      </c>
    </row>
    <row x14ac:dyDescent="0.25" r="16" customHeight="1" ht="18">
      <c r="A16" s="32"/>
      <c r="B16" s="24"/>
      <c r="C16" s="25"/>
      <c r="D16" s="25"/>
      <c r="E16" s="26"/>
    </row>
    <row x14ac:dyDescent="0.25" r="17" customHeight="1" ht="18">
      <c r="A17" s="40" t="s">
        <v>395</v>
      </c>
      <c r="B17" s="40"/>
      <c r="C17" s="41">
        <f>SUMIF('Coverage Matrix'!J:J,"Phase 1*",'Coverage Matrix'!K:K)+SUMIF('Coverage Matrix'!J:J,"Phase 2*",'Coverage Matrix'!K:K)+SUM(C13:C14)</f>
      </c>
      <c r="D17" s="41">
        <f>SUMIF('Coverage Matrix'!J:J,"Phase 1*",'Coverage Matrix'!L:L)+SUMIF('Coverage Matrix'!J:J,"Phase 2*",'Coverage Matrix'!L:L)+SUM(D13:D14)</f>
      </c>
      <c r="E17" s="42">
        <f>ROUND(AVERAGE(C17:D17)/5,1)</f>
      </c>
    </row>
    <row x14ac:dyDescent="0.25" r="18" customHeight="1" ht="18">
      <c r="A18" s="43" t="s">
        <v>396</v>
      </c>
      <c r="B18" s="43"/>
      <c r="C18" s="44">
        <f>C17+SUMIF('Coverage Matrix'!J:J,"Phase 3*",'Coverage Matrix'!K:K)</f>
      </c>
      <c r="D18" s="44">
        <f>D17+SUMIF('Coverage Matrix'!J:J,"Phase 3*",'Coverage Matrix'!L:L)</f>
      </c>
      <c r="E18" s="45">
        <f>ROUND(AVERAGE(C18:D18)/5,1)</f>
      </c>
    </row>
    <row x14ac:dyDescent="0.25" r="19" customHeight="1" ht="18">
      <c r="A19" s="32"/>
      <c r="B19" s="24"/>
      <c r="C19" s="25"/>
      <c r="D19" s="25"/>
      <c r="E19" s="26"/>
    </row>
    <row x14ac:dyDescent="0.25" r="20" customHeight="1" ht="18.75">
      <c r="A20" s="33" t="s">
        <v>397</v>
      </c>
      <c r="B20" s="24"/>
      <c r="C20" s="25"/>
      <c r="D20" s="25"/>
      <c r="E20" s="26"/>
    </row>
    <row x14ac:dyDescent="0.25" r="21" customHeight="1" ht="18">
      <c r="A21" s="1" t="s">
        <v>398</v>
      </c>
      <c r="B21" s="34" t="s">
        <v>388</v>
      </c>
      <c r="C21" s="35"/>
      <c r="D21" s="35"/>
      <c r="E21" s="34"/>
    </row>
    <row x14ac:dyDescent="0.25" r="22" customHeight="1" ht="18">
      <c r="A22" s="36" t="s">
        <v>31</v>
      </c>
      <c r="B22" s="37">
        <f>COUNTIF('Coverage Matrix'!H:H,A22)</f>
      </c>
      <c r="C22" s="25"/>
      <c r="D22" s="25"/>
      <c r="E22" s="26"/>
    </row>
    <row x14ac:dyDescent="0.25" r="23" customHeight="1" ht="18">
      <c r="A23" s="36" t="s">
        <v>93</v>
      </c>
      <c r="B23" s="37">
        <f>COUNTIF('Coverage Matrix'!H:H,A23)</f>
      </c>
      <c r="C23" s="25"/>
      <c r="D23" s="25"/>
      <c r="E23" s="26"/>
    </row>
    <row x14ac:dyDescent="0.25" r="24" customHeight="1" ht="18">
      <c r="A24" s="36" t="s">
        <v>38</v>
      </c>
      <c r="B24" s="37">
        <f>COUNTIF('Coverage Matrix'!H:H,A24)</f>
      </c>
      <c r="C24" s="25"/>
      <c r="D24" s="25"/>
      <c r="E24" s="26"/>
    </row>
    <row x14ac:dyDescent="0.25" r="25" customHeight="1" ht="18">
      <c r="A25" s="36" t="s">
        <v>399</v>
      </c>
      <c r="B25" s="37">
        <f>COUNTA('Coverage Matrix'!A2:A88)</f>
      </c>
      <c r="C25" s="25"/>
      <c r="D25" s="25"/>
      <c r="E25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88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1" width="9.005" customWidth="1" bestFit="1"/>
    <col min="2" max="2" style="7" width="30.005" customWidth="1" bestFit="1"/>
    <col min="3" max="3" style="21" width="7.005" customWidth="1" bestFit="1"/>
    <col min="4" max="4" style="21" width="11.005" customWidth="1" bestFit="1"/>
    <col min="5" max="5" style="21" width="12.005" customWidth="1" bestFit="1"/>
    <col min="6" max="6" style="6" width="14.005" customWidth="1" bestFit="1"/>
    <col min="7" max="7" style="6" width="20.005" customWidth="1" bestFit="1"/>
    <col min="8" max="8" style="6" width="17.005" customWidth="1" bestFit="1"/>
    <col min="9" max="9" style="6" width="22.005" customWidth="1" bestFit="1"/>
    <col min="10" max="10" style="6" width="26.005" customWidth="1" bestFit="1"/>
    <col min="11" max="11" style="22" width="11.005" customWidth="1" bestFit="1"/>
    <col min="12" max="12" style="22" width="11.005" customWidth="1" bestFit="1"/>
    <col min="13" max="13" style="7" width="60.005" customWidth="1" bestFit="1"/>
    <col min="14" max="14" style="7" width="55.005" customWidth="1" bestFit="1"/>
    <col min="15" max="15" style="7" width="46.005" customWidth="1" bestFit="1"/>
  </cols>
  <sheetData>
    <row x14ac:dyDescent="0.25" r="1" customHeight="1" ht="30" customFormat="1" s="8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10" t="s">
        <v>2</v>
      </c>
      <c r="L1" s="10" t="s">
        <v>3</v>
      </c>
      <c r="M1" s="9" t="s">
        <v>21</v>
      </c>
      <c r="N1" s="9" t="s">
        <v>22</v>
      </c>
      <c r="O1" s="9" t="s">
        <v>23</v>
      </c>
    </row>
    <row x14ac:dyDescent="0.25" r="2" customHeight="1" ht="18">
      <c r="A2" s="11" t="s">
        <v>24</v>
      </c>
      <c r="B2" s="12" t="s">
        <v>25</v>
      </c>
      <c r="C2" s="11" t="s">
        <v>26</v>
      </c>
      <c r="D2" s="11" t="s">
        <v>27</v>
      </c>
      <c r="E2" s="11" t="s">
        <v>28</v>
      </c>
      <c r="F2" s="13" t="s">
        <v>29</v>
      </c>
      <c r="G2" s="13" t="s">
        <v>30</v>
      </c>
      <c r="H2" s="14" t="s">
        <v>31</v>
      </c>
      <c r="I2" s="13" t="s">
        <v>7</v>
      </c>
      <c r="J2" s="15" t="s">
        <v>32</v>
      </c>
      <c r="K2" s="16"/>
      <c r="L2" s="16"/>
      <c r="M2" s="12" t="s">
        <v>33</v>
      </c>
      <c r="N2" s="12" t="s">
        <v>34</v>
      </c>
      <c r="O2" s="12"/>
    </row>
    <row x14ac:dyDescent="0.25" r="3" customHeight="1" ht="18">
      <c r="A3" s="11" t="s">
        <v>35</v>
      </c>
      <c r="B3" s="12" t="s">
        <v>36</v>
      </c>
      <c r="C3" s="11" t="s">
        <v>26</v>
      </c>
      <c r="D3" s="11" t="s">
        <v>27</v>
      </c>
      <c r="E3" s="11" t="s">
        <v>28</v>
      </c>
      <c r="F3" s="13" t="s">
        <v>29</v>
      </c>
      <c r="G3" s="13" t="s">
        <v>37</v>
      </c>
      <c r="H3" s="15" t="s">
        <v>38</v>
      </c>
      <c r="I3" s="13" t="s">
        <v>9</v>
      </c>
      <c r="J3" s="17" t="s">
        <v>39</v>
      </c>
      <c r="K3" s="16">
        <v>1</v>
      </c>
      <c r="L3" s="16">
        <v>2</v>
      </c>
      <c r="M3" s="12" t="s">
        <v>40</v>
      </c>
      <c r="N3" s="12" t="s">
        <v>41</v>
      </c>
      <c r="O3" s="12"/>
    </row>
    <row x14ac:dyDescent="0.25" r="4" customHeight="1" ht="18">
      <c r="A4" s="11" t="s">
        <v>42</v>
      </c>
      <c r="B4" s="12" t="s">
        <v>43</v>
      </c>
      <c r="C4" s="11" t="s">
        <v>26</v>
      </c>
      <c r="D4" s="11" t="s">
        <v>27</v>
      </c>
      <c r="E4" s="11" t="s">
        <v>28</v>
      </c>
      <c r="F4" s="13" t="s">
        <v>29</v>
      </c>
      <c r="G4" s="13" t="s">
        <v>37</v>
      </c>
      <c r="H4" s="15" t="s">
        <v>38</v>
      </c>
      <c r="I4" s="13" t="s">
        <v>9</v>
      </c>
      <c r="J4" s="17" t="s">
        <v>39</v>
      </c>
      <c r="K4" s="16">
        <v>1</v>
      </c>
      <c r="L4" s="16">
        <v>2</v>
      </c>
      <c r="M4" s="12" t="s">
        <v>44</v>
      </c>
      <c r="N4" s="12" t="s">
        <v>45</v>
      </c>
      <c r="O4" s="12"/>
    </row>
    <row x14ac:dyDescent="0.25" r="5" customHeight="1" ht="18">
      <c r="A5" s="11" t="s">
        <v>46</v>
      </c>
      <c r="B5" s="12" t="s">
        <v>47</v>
      </c>
      <c r="C5" s="11" t="s">
        <v>26</v>
      </c>
      <c r="D5" s="11" t="s">
        <v>27</v>
      </c>
      <c r="E5" s="11" t="s">
        <v>28</v>
      </c>
      <c r="F5" s="13" t="s">
        <v>29</v>
      </c>
      <c r="G5" s="13" t="s">
        <v>37</v>
      </c>
      <c r="H5" s="15" t="s">
        <v>38</v>
      </c>
      <c r="I5" s="13" t="s">
        <v>9</v>
      </c>
      <c r="J5" s="17" t="s">
        <v>39</v>
      </c>
      <c r="K5" s="16">
        <v>1</v>
      </c>
      <c r="L5" s="16">
        <v>2</v>
      </c>
      <c r="M5" s="12" t="s">
        <v>48</v>
      </c>
      <c r="N5" s="12" t="s">
        <v>49</v>
      </c>
      <c r="O5" s="12"/>
    </row>
    <row x14ac:dyDescent="0.25" r="6" customHeight="1" ht="18">
      <c r="A6" s="11" t="s">
        <v>50</v>
      </c>
      <c r="B6" s="12" t="s">
        <v>51</v>
      </c>
      <c r="C6" s="11" t="s">
        <v>52</v>
      </c>
      <c r="D6" s="11" t="s">
        <v>27</v>
      </c>
      <c r="E6" s="11" t="s">
        <v>28</v>
      </c>
      <c r="F6" s="13" t="s">
        <v>29</v>
      </c>
      <c r="G6" s="13" t="s">
        <v>37</v>
      </c>
      <c r="H6" s="15" t="s">
        <v>38</v>
      </c>
      <c r="I6" s="13" t="s">
        <v>9</v>
      </c>
      <c r="J6" s="17" t="s">
        <v>39</v>
      </c>
      <c r="K6" s="16">
        <v>1</v>
      </c>
      <c r="L6" s="16">
        <v>2</v>
      </c>
      <c r="M6" s="12" t="s">
        <v>53</v>
      </c>
      <c r="N6" s="12" t="s">
        <v>54</v>
      </c>
      <c r="O6" s="12"/>
    </row>
    <row x14ac:dyDescent="0.25" r="7" customHeight="1" ht="18">
      <c r="A7" s="11" t="s">
        <v>55</v>
      </c>
      <c r="B7" s="12" t="s">
        <v>56</v>
      </c>
      <c r="C7" s="11" t="s">
        <v>52</v>
      </c>
      <c r="D7" s="11" t="s">
        <v>27</v>
      </c>
      <c r="E7" s="11" t="s">
        <v>28</v>
      </c>
      <c r="F7" s="13" t="s">
        <v>29</v>
      </c>
      <c r="G7" s="13" t="s">
        <v>37</v>
      </c>
      <c r="H7" s="15" t="s">
        <v>38</v>
      </c>
      <c r="I7" s="13" t="s">
        <v>9</v>
      </c>
      <c r="J7" s="17" t="s">
        <v>39</v>
      </c>
      <c r="K7" s="16">
        <v>1</v>
      </c>
      <c r="L7" s="16">
        <v>2</v>
      </c>
      <c r="M7" s="12" t="s">
        <v>57</v>
      </c>
      <c r="N7" s="12" t="s">
        <v>58</v>
      </c>
      <c r="O7" s="12"/>
    </row>
    <row x14ac:dyDescent="0.25" r="8" customHeight="1" ht="18">
      <c r="A8" s="11" t="s">
        <v>59</v>
      </c>
      <c r="B8" s="12" t="s">
        <v>60</v>
      </c>
      <c r="C8" s="11" t="s">
        <v>61</v>
      </c>
      <c r="D8" s="11" t="s">
        <v>27</v>
      </c>
      <c r="E8" s="11" t="s">
        <v>62</v>
      </c>
      <c r="F8" s="13" t="s">
        <v>29</v>
      </c>
      <c r="G8" s="13" t="s">
        <v>37</v>
      </c>
      <c r="H8" s="15" t="s">
        <v>38</v>
      </c>
      <c r="I8" s="13" t="s">
        <v>9</v>
      </c>
      <c r="J8" s="18" t="s">
        <v>63</v>
      </c>
      <c r="K8" s="16">
        <v>1</v>
      </c>
      <c r="L8" s="16">
        <v>2</v>
      </c>
      <c r="M8" s="12" t="s">
        <v>64</v>
      </c>
      <c r="N8" s="12" t="s">
        <v>65</v>
      </c>
      <c r="O8" s="12"/>
    </row>
    <row x14ac:dyDescent="0.25" r="9" customHeight="1" ht="18">
      <c r="A9" s="11" t="s">
        <v>66</v>
      </c>
      <c r="B9" s="12" t="s">
        <v>67</v>
      </c>
      <c r="C9" s="11" t="s">
        <v>61</v>
      </c>
      <c r="D9" s="11" t="s">
        <v>27</v>
      </c>
      <c r="E9" s="11" t="s">
        <v>62</v>
      </c>
      <c r="F9" s="13" t="s">
        <v>29</v>
      </c>
      <c r="G9" s="13" t="s">
        <v>37</v>
      </c>
      <c r="H9" s="15" t="s">
        <v>38</v>
      </c>
      <c r="I9" s="13" t="s">
        <v>9</v>
      </c>
      <c r="J9" s="18" t="s">
        <v>63</v>
      </c>
      <c r="K9" s="16">
        <v>1</v>
      </c>
      <c r="L9" s="16">
        <v>2</v>
      </c>
      <c r="M9" s="12" t="s">
        <v>68</v>
      </c>
      <c r="N9" s="12" t="s">
        <v>65</v>
      </c>
      <c r="O9" s="12"/>
    </row>
    <row x14ac:dyDescent="0.25" r="10" customHeight="1" ht="18">
      <c r="A10" s="11" t="s">
        <v>69</v>
      </c>
      <c r="B10" s="12" t="s">
        <v>70</v>
      </c>
      <c r="C10" s="11" t="s">
        <v>61</v>
      </c>
      <c r="D10" s="11" t="s">
        <v>27</v>
      </c>
      <c r="E10" s="11" t="s">
        <v>62</v>
      </c>
      <c r="F10" s="13" t="s">
        <v>29</v>
      </c>
      <c r="G10" s="13" t="s">
        <v>37</v>
      </c>
      <c r="H10" s="15" t="s">
        <v>38</v>
      </c>
      <c r="I10" s="13" t="s">
        <v>9</v>
      </c>
      <c r="J10" s="18" t="s">
        <v>63</v>
      </c>
      <c r="K10" s="16">
        <v>1</v>
      </c>
      <c r="L10" s="16">
        <v>2</v>
      </c>
      <c r="M10" s="12" t="s">
        <v>71</v>
      </c>
      <c r="N10" s="12" t="s">
        <v>72</v>
      </c>
      <c r="O10" s="12"/>
    </row>
    <row x14ac:dyDescent="0.25" r="11" customHeight="1" ht="18">
      <c r="A11" s="11" t="s">
        <v>73</v>
      </c>
      <c r="B11" s="12" t="s">
        <v>74</v>
      </c>
      <c r="C11" s="11" t="s">
        <v>61</v>
      </c>
      <c r="D11" s="11" t="s">
        <v>27</v>
      </c>
      <c r="E11" s="11" t="s">
        <v>62</v>
      </c>
      <c r="F11" s="13" t="s">
        <v>29</v>
      </c>
      <c r="G11" s="13" t="s">
        <v>37</v>
      </c>
      <c r="H11" s="15" t="s">
        <v>38</v>
      </c>
      <c r="I11" s="13" t="s">
        <v>9</v>
      </c>
      <c r="J11" s="18" t="s">
        <v>63</v>
      </c>
      <c r="K11" s="16">
        <v>1</v>
      </c>
      <c r="L11" s="16">
        <v>2</v>
      </c>
      <c r="M11" s="12" t="s">
        <v>75</v>
      </c>
      <c r="N11" s="12" t="s">
        <v>65</v>
      </c>
      <c r="O11" s="12"/>
    </row>
    <row x14ac:dyDescent="0.25" r="12" customHeight="1" ht="18">
      <c r="A12" s="11" t="s">
        <v>76</v>
      </c>
      <c r="B12" s="12" t="s">
        <v>77</v>
      </c>
      <c r="C12" s="11" t="s">
        <v>26</v>
      </c>
      <c r="D12" s="11" t="s">
        <v>27</v>
      </c>
      <c r="E12" s="11" t="s">
        <v>28</v>
      </c>
      <c r="F12" s="13" t="s">
        <v>29</v>
      </c>
      <c r="G12" s="13" t="s">
        <v>30</v>
      </c>
      <c r="H12" s="14" t="s">
        <v>31</v>
      </c>
      <c r="I12" s="13" t="s">
        <v>7</v>
      </c>
      <c r="J12" s="15" t="s">
        <v>32</v>
      </c>
      <c r="K12" s="16"/>
      <c r="L12" s="16"/>
      <c r="M12" s="12" t="s">
        <v>78</v>
      </c>
      <c r="N12" s="12" t="s">
        <v>79</v>
      </c>
      <c r="O12" s="12"/>
    </row>
    <row x14ac:dyDescent="0.25" r="13" customHeight="1" ht="18">
      <c r="A13" s="11" t="s">
        <v>80</v>
      </c>
      <c r="B13" s="12" t="s">
        <v>81</v>
      </c>
      <c r="C13" s="11" t="s">
        <v>26</v>
      </c>
      <c r="D13" s="11" t="s">
        <v>27</v>
      </c>
      <c r="E13" s="11" t="s">
        <v>28</v>
      </c>
      <c r="F13" s="13" t="s">
        <v>29</v>
      </c>
      <c r="G13" s="13" t="s">
        <v>37</v>
      </c>
      <c r="H13" s="14" t="s">
        <v>31</v>
      </c>
      <c r="I13" s="13" t="s">
        <v>9</v>
      </c>
      <c r="J13" s="15" t="s">
        <v>32</v>
      </c>
      <c r="K13" s="16"/>
      <c r="L13" s="16"/>
      <c r="M13" s="12" t="s">
        <v>82</v>
      </c>
      <c r="N13" s="12" t="s">
        <v>83</v>
      </c>
      <c r="O13" s="12"/>
    </row>
    <row x14ac:dyDescent="0.25" r="14" customHeight="1" ht="18">
      <c r="A14" s="11" t="s">
        <v>84</v>
      </c>
      <c r="B14" s="12" t="s">
        <v>85</v>
      </c>
      <c r="C14" s="11" t="s">
        <v>26</v>
      </c>
      <c r="D14" s="11" t="s">
        <v>27</v>
      </c>
      <c r="E14" s="11" t="s">
        <v>28</v>
      </c>
      <c r="F14" s="13" t="s">
        <v>29</v>
      </c>
      <c r="G14" s="13" t="s">
        <v>30</v>
      </c>
      <c r="H14" s="15" t="s">
        <v>38</v>
      </c>
      <c r="I14" s="13" t="s">
        <v>7</v>
      </c>
      <c r="J14" s="19" t="s">
        <v>86</v>
      </c>
      <c r="K14" s="16">
        <v>4</v>
      </c>
      <c r="L14" s="16">
        <v>8</v>
      </c>
      <c r="M14" s="12" t="s">
        <v>87</v>
      </c>
      <c r="N14" s="12" t="s">
        <v>88</v>
      </c>
      <c r="O14" s="12"/>
    </row>
    <row x14ac:dyDescent="0.25" r="15" customHeight="1" ht="18">
      <c r="A15" s="11" t="s">
        <v>89</v>
      </c>
      <c r="B15" s="12" t="s">
        <v>90</v>
      </c>
      <c r="C15" s="11" t="s">
        <v>52</v>
      </c>
      <c r="D15" s="11" t="s">
        <v>91</v>
      </c>
      <c r="E15" s="11" t="s">
        <v>28</v>
      </c>
      <c r="F15" s="13" t="s">
        <v>29</v>
      </c>
      <c r="G15" s="13" t="s">
        <v>92</v>
      </c>
      <c r="H15" s="20" t="s">
        <v>93</v>
      </c>
      <c r="I15" s="13" t="s">
        <v>5</v>
      </c>
      <c r="J15" s="15" t="s">
        <v>32</v>
      </c>
      <c r="K15" s="16"/>
      <c r="L15" s="16"/>
      <c r="M15" s="12" t="s">
        <v>94</v>
      </c>
      <c r="N15" s="12" t="s">
        <v>95</v>
      </c>
      <c r="O15" s="12" t="s">
        <v>96</v>
      </c>
    </row>
    <row x14ac:dyDescent="0.25" r="16" customHeight="1" ht="18">
      <c r="A16" s="11" t="s">
        <v>97</v>
      </c>
      <c r="B16" s="12" t="s">
        <v>98</v>
      </c>
      <c r="C16" s="11" t="s">
        <v>52</v>
      </c>
      <c r="D16" s="11" t="s">
        <v>91</v>
      </c>
      <c r="E16" s="11" t="s">
        <v>28</v>
      </c>
      <c r="F16" s="13" t="s">
        <v>29</v>
      </c>
      <c r="G16" s="13" t="s">
        <v>92</v>
      </c>
      <c r="H16" s="20" t="s">
        <v>93</v>
      </c>
      <c r="I16" s="13" t="s">
        <v>5</v>
      </c>
      <c r="J16" s="15" t="s">
        <v>32</v>
      </c>
      <c r="K16" s="16"/>
      <c r="L16" s="16"/>
      <c r="M16" s="12" t="s">
        <v>99</v>
      </c>
      <c r="N16" s="12" t="s">
        <v>100</v>
      </c>
      <c r="O16" s="12" t="s">
        <v>96</v>
      </c>
    </row>
    <row x14ac:dyDescent="0.25" r="17" customHeight="1" ht="18">
      <c r="A17" s="11" t="s">
        <v>101</v>
      </c>
      <c r="B17" s="12" t="s">
        <v>102</v>
      </c>
      <c r="C17" s="11" t="s">
        <v>61</v>
      </c>
      <c r="D17" s="11" t="s">
        <v>91</v>
      </c>
      <c r="E17" s="11" t="s">
        <v>62</v>
      </c>
      <c r="F17" s="13" t="s">
        <v>29</v>
      </c>
      <c r="G17" s="13" t="s">
        <v>92</v>
      </c>
      <c r="H17" s="15" t="s">
        <v>38</v>
      </c>
      <c r="I17" s="13" t="s">
        <v>5</v>
      </c>
      <c r="J17" s="18" t="s">
        <v>63</v>
      </c>
      <c r="K17" s="16">
        <v>1</v>
      </c>
      <c r="L17" s="16">
        <v>3</v>
      </c>
      <c r="M17" s="12" t="s">
        <v>103</v>
      </c>
      <c r="N17" s="12" t="s">
        <v>104</v>
      </c>
      <c r="O17" s="12"/>
    </row>
    <row x14ac:dyDescent="0.25" r="18" customHeight="1" ht="18">
      <c r="A18" s="11" t="s">
        <v>105</v>
      </c>
      <c r="B18" s="12" t="s">
        <v>106</v>
      </c>
      <c r="C18" s="11" t="s">
        <v>26</v>
      </c>
      <c r="D18" s="11" t="s">
        <v>27</v>
      </c>
      <c r="E18" s="11" t="s">
        <v>28</v>
      </c>
      <c r="F18" s="13" t="s">
        <v>29</v>
      </c>
      <c r="G18" s="13" t="s">
        <v>37</v>
      </c>
      <c r="H18" s="15" t="s">
        <v>38</v>
      </c>
      <c r="I18" s="13" t="s">
        <v>9</v>
      </c>
      <c r="J18" s="17" t="s">
        <v>39</v>
      </c>
      <c r="K18" s="16">
        <v>1</v>
      </c>
      <c r="L18" s="16">
        <v>2</v>
      </c>
      <c r="M18" s="12" t="s">
        <v>107</v>
      </c>
      <c r="N18" s="12" t="s">
        <v>108</v>
      </c>
      <c r="O18" s="12"/>
    </row>
    <row x14ac:dyDescent="0.25" r="19" customHeight="1" ht="18">
      <c r="A19" s="11" t="s">
        <v>109</v>
      </c>
      <c r="B19" s="12" t="s">
        <v>110</v>
      </c>
      <c r="C19" s="11" t="s">
        <v>26</v>
      </c>
      <c r="D19" s="11" t="s">
        <v>27</v>
      </c>
      <c r="E19" s="11" t="s">
        <v>28</v>
      </c>
      <c r="F19" s="13" t="s">
        <v>29</v>
      </c>
      <c r="G19" s="13" t="s">
        <v>92</v>
      </c>
      <c r="H19" s="20" t="s">
        <v>93</v>
      </c>
      <c r="I19" s="13" t="s">
        <v>5</v>
      </c>
      <c r="J19" s="15" t="s">
        <v>32</v>
      </c>
      <c r="K19" s="16"/>
      <c r="L19" s="16"/>
      <c r="M19" s="12" t="s">
        <v>111</v>
      </c>
      <c r="N19" s="12" t="s">
        <v>112</v>
      </c>
      <c r="O19" s="12" t="s">
        <v>96</v>
      </c>
    </row>
    <row x14ac:dyDescent="0.25" r="20" customHeight="1" ht="18">
      <c r="A20" s="11" t="s">
        <v>113</v>
      </c>
      <c r="B20" s="12" t="s">
        <v>114</v>
      </c>
      <c r="C20" s="11" t="s">
        <v>52</v>
      </c>
      <c r="D20" s="11" t="s">
        <v>27</v>
      </c>
      <c r="E20" s="11" t="s">
        <v>28</v>
      </c>
      <c r="F20" s="13" t="s">
        <v>29</v>
      </c>
      <c r="G20" s="13" t="s">
        <v>92</v>
      </c>
      <c r="H20" s="14" t="s">
        <v>31</v>
      </c>
      <c r="I20" s="13" t="s">
        <v>5</v>
      </c>
      <c r="J20" s="15" t="s">
        <v>32</v>
      </c>
      <c r="K20" s="16"/>
      <c r="L20" s="16"/>
      <c r="M20" s="12" t="s">
        <v>115</v>
      </c>
      <c r="N20" s="12" t="s">
        <v>116</v>
      </c>
      <c r="O20" s="12"/>
    </row>
    <row x14ac:dyDescent="0.25" r="21" customHeight="1" ht="18">
      <c r="A21" s="11" t="s">
        <v>117</v>
      </c>
      <c r="B21" s="12" t="s">
        <v>118</v>
      </c>
      <c r="C21" s="11" t="s">
        <v>52</v>
      </c>
      <c r="D21" s="11" t="s">
        <v>27</v>
      </c>
      <c r="E21" s="11" t="s">
        <v>28</v>
      </c>
      <c r="F21" s="13" t="s">
        <v>29</v>
      </c>
      <c r="G21" s="13" t="s">
        <v>92</v>
      </c>
      <c r="H21" s="20" t="s">
        <v>93</v>
      </c>
      <c r="I21" s="13" t="s">
        <v>5</v>
      </c>
      <c r="J21" s="15" t="s">
        <v>32</v>
      </c>
      <c r="K21" s="16"/>
      <c r="L21" s="16"/>
      <c r="M21" s="12" t="s">
        <v>119</v>
      </c>
      <c r="N21" s="12" t="s">
        <v>120</v>
      </c>
      <c r="O21" s="12" t="s">
        <v>96</v>
      </c>
    </row>
    <row x14ac:dyDescent="0.25" r="22" customHeight="1" ht="18">
      <c r="A22" s="11" t="s">
        <v>121</v>
      </c>
      <c r="B22" s="12" t="s">
        <v>122</v>
      </c>
      <c r="C22" s="11" t="s">
        <v>52</v>
      </c>
      <c r="D22" s="11" t="s">
        <v>27</v>
      </c>
      <c r="E22" s="11" t="s">
        <v>28</v>
      </c>
      <c r="F22" s="13" t="s">
        <v>29</v>
      </c>
      <c r="G22" s="13" t="s">
        <v>92</v>
      </c>
      <c r="H22" s="20" t="s">
        <v>93</v>
      </c>
      <c r="I22" s="13" t="s">
        <v>5</v>
      </c>
      <c r="J22" s="15" t="s">
        <v>32</v>
      </c>
      <c r="K22" s="16"/>
      <c r="L22" s="16"/>
      <c r="M22" s="12" t="s">
        <v>123</v>
      </c>
      <c r="N22" s="12" t="s">
        <v>124</v>
      </c>
      <c r="O22" s="12" t="s">
        <v>96</v>
      </c>
    </row>
    <row x14ac:dyDescent="0.25" r="23" customHeight="1" ht="18">
      <c r="A23" s="11" t="s">
        <v>125</v>
      </c>
      <c r="B23" s="12" t="s">
        <v>126</v>
      </c>
      <c r="C23" s="11" t="s">
        <v>61</v>
      </c>
      <c r="D23" s="11" t="s">
        <v>27</v>
      </c>
      <c r="E23" s="11" t="s">
        <v>62</v>
      </c>
      <c r="F23" s="13" t="s">
        <v>29</v>
      </c>
      <c r="G23" s="13" t="s">
        <v>92</v>
      </c>
      <c r="H23" s="15" t="s">
        <v>38</v>
      </c>
      <c r="I23" s="13" t="s">
        <v>5</v>
      </c>
      <c r="J23" s="18" t="s">
        <v>63</v>
      </c>
      <c r="K23" s="16">
        <v>1</v>
      </c>
      <c r="L23" s="16">
        <v>3</v>
      </c>
      <c r="M23" s="12" t="s">
        <v>127</v>
      </c>
      <c r="N23" s="12" t="s">
        <v>128</v>
      </c>
      <c r="O23" s="12"/>
    </row>
    <row x14ac:dyDescent="0.25" r="24" customHeight="1" ht="18">
      <c r="A24" s="11" t="s">
        <v>129</v>
      </c>
      <c r="B24" s="12" t="s">
        <v>130</v>
      </c>
      <c r="C24" s="11" t="s">
        <v>61</v>
      </c>
      <c r="D24" s="11" t="s">
        <v>27</v>
      </c>
      <c r="E24" s="11" t="s">
        <v>62</v>
      </c>
      <c r="F24" s="13" t="s">
        <v>29</v>
      </c>
      <c r="G24" s="13" t="s">
        <v>37</v>
      </c>
      <c r="H24" s="15" t="s">
        <v>38</v>
      </c>
      <c r="I24" s="13" t="s">
        <v>9</v>
      </c>
      <c r="J24" s="18" t="s">
        <v>63</v>
      </c>
      <c r="K24" s="16">
        <v>1</v>
      </c>
      <c r="L24" s="16">
        <v>2</v>
      </c>
      <c r="M24" s="12" t="s">
        <v>131</v>
      </c>
      <c r="N24" s="12" t="s">
        <v>65</v>
      </c>
      <c r="O24" s="12"/>
    </row>
    <row x14ac:dyDescent="0.25" r="25" customHeight="1" ht="18">
      <c r="A25" s="11" t="s">
        <v>132</v>
      </c>
      <c r="B25" s="12" t="s">
        <v>133</v>
      </c>
      <c r="C25" s="11" t="s">
        <v>61</v>
      </c>
      <c r="D25" s="11" t="s">
        <v>27</v>
      </c>
      <c r="E25" s="11" t="s">
        <v>62</v>
      </c>
      <c r="F25" s="13" t="s">
        <v>29</v>
      </c>
      <c r="G25" s="13" t="s">
        <v>37</v>
      </c>
      <c r="H25" s="15" t="s">
        <v>38</v>
      </c>
      <c r="I25" s="13" t="s">
        <v>9</v>
      </c>
      <c r="J25" s="18" t="s">
        <v>63</v>
      </c>
      <c r="K25" s="16">
        <v>1</v>
      </c>
      <c r="L25" s="16">
        <v>2</v>
      </c>
      <c r="M25" s="12" t="s">
        <v>134</v>
      </c>
      <c r="N25" s="12" t="s">
        <v>135</v>
      </c>
      <c r="O25" s="12"/>
    </row>
    <row x14ac:dyDescent="0.25" r="26" customHeight="1" ht="18">
      <c r="A26" s="11" t="s">
        <v>136</v>
      </c>
      <c r="B26" s="12" t="s">
        <v>137</v>
      </c>
      <c r="C26" s="11" t="s">
        <v>61</v>
      </c>
      <c r="D26" s="11" t="s">
        <v>27</v>
      </c>
      <c r="E26" s="11" t="s">
        <v>62</v>
      </c>
      <c r="F26" s="13" t="s">
        <v>29</v>
      </c>
      <c r="G26" s="13" t="s">
        <v>92</v>
      </c>
      <c r="H26" s="15" t="s">
        <v>38</v>
      </c>
      <c r="I26" s="13" t="s">
        <v>5</v>
      </c>
      <c r="J26" s="18" t="s">
        <v>63</v>
      </c>
      <c r="K26" s="16">
        <v>1</v>
      </c>
      <c r="L26" s="16">
        <v>3</v>
      </c>
      <c r="M26" s="12" t="s">
        <v>138</v>
      </c>
      <c r="N26" s="12" t="s">
        <v>65</v>
      </c>
      <c r="O26" s="12"/>
    </row>
    <row x14ac:dyDescent="0.25" r="27" customHeight="1" ht="18">
      <c r="A27" s="11" t="s">
        <v>139</v>
      </c>
      <c r="B27" s="12" t="s">
        <v>140</v>
      </c>
      <c r="C27" s="11" t="s">
        <v>52</v>
      </c>
      <c r="D27" s="11" t="s">
        <v>91</v>
      </c>
      <c r="E27" s="11" t="s">
        <v>28</v>
      </c>
      <c r="F27" s="13" t="s">
        <v>29</v>
      </c>
      <c r="G27" s="13" t="s">
        <v>92</v>
      </c>
      <c r="H27" s="20" t="s">
        <v>93</v>
      </c>
      <c r="I27" s="13" t="s">
        <v>5</v>
      </c>
      <c r="J27" s="15" t="s">
        <v>32</v>
      </c>
      <c r="K27" s="16"/>
      <c r="L27" s="16"/>
      <c r="M27" s="12" t="s">
        <v>141</v>
      </c>
      <c r="N27" s="12" t="s">
        <v>142</v>
      </c>
      <c r="O27" s="12" t="s">
        <v>96</v>
      </c>
    </row>
    <row x14ac:dyDescent="0.25" r="28" customHeight="1" ht="18">
      <c r="A28" s="11" t="s">
        <v>143</v>
      </c>
      <c r="B28" s="12" t="s">
        <v>144</v>
      </c>
      <c r="C28" s="11" t="s">
        <v>52</v>
      </c>
      <c r="D28" s="11" t="s">
        <v>91</v>
      </c>
      <c r="E28" s="11" t="s">
        <v>28</v>
      </c>
      <c r="F28" s="13" t="s">
        <v>29</v>
      </c>
      <c r="G28" s="13" t="s">
        <v>92</v>
      </c>
      <c r="H28" s="20" t="s">
        <v>93</v>
      </c>
      <c r="I28" s="13" t="s">
        <v>5</v>
      </c>
      <c r="J28" s="15" t="s">
        <v>32</v>
      </c>
      <c r="K28" s="16"/>
      <c r="L28" s="16"/>
      <c r="M28" s="12" t="s">
        <v>145</v>
      </c>
      <c r="N28" s="12" t="s">
        <v>146</v>
      </c>
      <c r="O28" s="12" t="s">
        <v>96</v>
      </c>
    </row>
    <row x14ac:dyDescent="0.25" r="29" customHeight="1" ht="18">
      <c r="A29" s="11" t="s">
        <v>147</v>
      </c>
      <c r="B29" s="12" t="s">
        <v>148</v>
      </c>
      <c r="C29" s="11" t="s">
        <v>52</v>
      </c>
      <c r="D29" s="11" t="s">
        <v>91</v>
      </c>
      <c r="E29" s="11" t="s">
        <v>28</v>
      </c>
      <c r="F29" s="13" t="s">
        <v>29</v>
      </c>
      <c r="G29" s="13" t="s">
        <v>92</v>
      </c>
      <c r="H29" s="20" t="s">
        <v>93</v>
      </c>
      <c r="I29" s="13" t="s">
        <v>5</v>
      </c>
      <c r="J29" s="15" t="s">
        <v>32</v>
      </c>
      <c r="K29" s="16"/>
      <c r="L29" s="16"/>
      <c r="M29" s="12" t="s">
        <v>149</v>
      </c>
      <c r="N29" s="12" t="s">
        <v>150</v>
      </c>
      <c r="O29" s="12" t="s">
        <v>96</v>
      </c>
    </row>
    <row x14ac:dyDescent="0.25" r="30" customHeight="1" ht="18">
      <c r="A30" s="11" t="s">
        <v>151</v>
      </c>
      <c r="B30" s="12" t="s">
        <v>152</v>
      </c>
      <c r="C30" s="11" t="s">
        <v>52</v>
      </c>
      <c r="D30" s="11" t="s">
        <v>91</v>
      </c>
      <c r="E30" s="11" t="s">
        <v>28</v>
      </c>
      <c r="F30" s="13" t="s">
        <v>29</v>
      </c>
      <c r="G30" s="13" t="s">
        <v>37</v>
      </c>
      <c r="H30" s="15" t="s">
        <v>38</v>
      </c>
      <c r="I30" s="13" t="s">
        <v>9</v>
      </c>
      <c r="J30" s="17" t="s">
        <v>39</v>
      </c>
      <c r="K30" s="16">
        <v>1</v>
      </c>
      <c r="L30" s="16">
        <v>2</v>
      </c>
      <c r="M30" s="12" t="s">
        <v>153</v>
      </c>
      <c r="N30" s="12" t="s">
        <v>154</v>
      </c>
      <c r="O30" s="12"/>
    </row>
    <row x14ac:dyDescent="0.25" r="31" customHeight="1" ht="18">
      <c r="A31" s="11" t="s">
        <v>155</v>
      </c>
      <c r="B31" s="12" t="s">
        <v>156</v>
      </c>
      <c r="C31" s="11" t="s">
        <v>26</v>
      </c>
      <c r="D31" s="11" t="s">
        <v>27</v>
      </c>
      <c r="E31" s="11" t="s">
        <v>28</v>
      </c>
      <c r="F31" s="13" t="s">
        <v>157</v>
      </c>
      <c r="G31" s="13" t="s">
        <v>37</v>
      </c>
      <c r="H31" s="14" t="s">
        <v>31</v>
      </c>
      <c r="I31" s="13" t="s">
        <v>9</v>
      </c>
      <c r="J31" s="15" t="s">
        <v>32</v>
      </c>
      <c r="K31" s="16"/>
      <c r="L31" s="16"/>
      <c r="M31" s="12" t="s">
        <v>158</v>
      </c>
      <c r="N31" s="12" t="s">
        <v>159</v>
      </c>
      <c r="O31" s="12"/>
    </row>
    <row x14ac:dyDescent="0.25" r="32" customHeight="1" ht="18">
      <c r="A32" s="11" t="s">
        <v>160</v>
      </c>
      <c r="B32" s="12" t="s">
        <v>161</v>
      </c>
      <c r="C32" s="11" t="s">
        <v>26</v>
      </c>
      <c r="D32" s="11" t="s">
        <v>27</v>
      </c>
      <c r="E32" s="11" t="s">
        <v>28</v>
      </c>
      <c r="F32" s="13" t="s">
        <v>157</v>
      </c>
      <c r="G32" s="13" t="s">
        <v>37</v>
      </c>
      <c r="H32" s="15" t="s">
        <v>38</v>
      </c>
      <c r="I32" s="13" t="s">
        <v>9</v>
      </c>
      <c r="J32" s="17" t="s">
        <v>39</v>
      </c>
      <c r="K32" s="16">
        <v>1</v>
      </c>
      <c r="L32" s="16">
        <v>2</v>
      </c>
      <c r="M32" s="12" t="s">
        <v>162</v>
      </c>
      <c r="N32" s="12" t="s">
        <v>163</v>
      </c>
      <c r="O32" s="12"/>
    </row>
    <row x14ac:dyDescent="0.25" r="33" customHeight="1" ht="18">
      <c r="A33" s="11" t="s">
        <v>164</v>
      </c>
      <c r="B33" s="12" t="s">
        <v>165</v>
      </c>
      <c r="C33" s="11" t="s">
        <v>61</v>
      </c>
      <c r="D33" s="11" t="s">
        <v>27</v>
      </c>
      <c r="E33" s="11" t="s">
        <v>62</v>
      </c>
      <c r="F33" s="13" t="s">
        <v>157</v>
      </c>
      <c r="G33" s="13" t="s">
        <v>37</v>
      </c>
      <c r="H33" s="15" t="s">
        <v>38</v>
      </c>
      <c r="I33" s="13" t="s">
        <v>9</v>
      </c>
      <c r="J33" s="18" t="s">
        <v>63</v>
      </c>
      <c r="K33" s="16">
        <v>1</v>
      </c>
      <c r="L33" s="16">
        <v>2</v>
      </c>
      <c r="M33" s="12" t="s">
        <v>166</v>
      </c>
      <c r="N33" s="12" t="s">
        <v>167</v>
      </c>
      <c r="O33" s="12"/>
    </row>
    <row x14ac:dyDescent="0.25" r="34" customHeight="1" ht="18">
      <c r="A34" s="11" t="s">
        <v>168</v>
      </c>
      <c r="B34" s="12" t="s">
        <v>169</v>
      </c>
      <c r="C34" s="11" t="s">
        <v>26</v>
      </c>
      <c r="D34" s="11" t="s">
        <v>91</v>
      </c>
      <c r="E34" s="11" t="s">
        <v>28</v>
      </c>
      <c r="F34" s="13" t="s">
        <v>157</v>
      </c>
      <c r="G34" s="13" t="s">
        <v>37</v>
      </c>
      <c r="H34" s="15" t="s">
        <v>38</v>
      </c>
      <c r="I34" s="13" t="s">
        <v>9</v>
      </c>
      <c r="J34" s="17" t="s">
        <v>39</v>
      </c>
      <c r="K34" s="16">
        <v>1</v>
      </c>
      <c r="L34" s="16">
        <v>2</v>
      </c>
      <c r="M34" s="12" t="s">
        <v>170</v>
      </c>
      <c r="N34" s="12" t="s">
        <v>171</v>
      </c>
      <c r="O34" s="12"/>
    </row>
    <row x14ac:dyDescent="0.25" r="35" customHeight="1" ht="18">
      <c r="A35" s="11" t="s">
        <v>172</v>
      </c>
      <c r="B35" s="12" t="s">
        <v>173</v>
      </c>
      <c r="C35" s="11" t="s">
        <v>26</v>
      </c>
      <c r="D35" s="11" t="s">
        <v>27</v>
      </c>
      <c r="E35" s="11" t="s">
        <v>28</v>
      </c>
      <c r="F35" s="13" t="s">
        <v>157</v>
      </c>
      <c r="G35" s="13" t="s">
        <v>37</v>
      </c>
      <c r="H35" s="15" t="s">
        <v>38</v>
      </c>
      <c r="I35" s="13" t="s">
        <v>9</v>
      </c>
      <c r="J35" s="17" t="s">
        <v>39</v>
      </c>
      <c r="K35" s="16">
        <v>1</v>
      </c>
      <c r="L35" s="16">
        <v>2</v>
      </c>
      <c r="M35" s="12" t="s">
        <v>174</v>
      </c>
      <c r="N35" s="12" t="s">
        <v>175</v>
      </c>
      <c r="O35" s="12"/>
    </row>
    <row x14ac:dyDescent="0.25" r="36" customHeight="1" ht="18">
      <c r="A36" s="11" t="s">
        <v>176</v>
      </c>
      <c r="B36" s="12" t="s">
        <v>177</v>
      </c>
      <c r="C36" s="11" t="s">
        <v>26</v>
      </c>
      <c r="D36" s="11" t="s">
        <v>27</v>
      </c>
      <c r="E36" s="11" t="s">
        <v>28</v>
      </c>
      <c r="F36" s="13" t="s">
        <v>157</v>
      </c>
      <c r="G36" s="13" t="s">
        <v>37</v>
      </c>
      <c r="H36" s="15" t="s">
        <v>38</v>
      </c>
      <c r="I36" s="13" t="s">
        <v>9</v>
      </c>
      <c r="J36" s="17" t="s">
        <v>39</v>
      </c>
      <c r="K36" s="16">
        <v>1</v>
      </c>
      <c r="L36" s="16">
        <v>2</v>
      </c>
      <c r="M36" s="12" t="s">
        <v>178</v>
      </c>
      <c r="N36" s="12" t="s">
        <v>179</v>
      </c>
      <c r="O36" s="12"/>
    </row>
    <row x14ac:dyDescent="0.25" r="37" customHeight="1" ht="18">
      <c r="A37" s="11" t="s">
        <v>180</v>
      </c>
      <c r="B37" s="12" t="s">
        <v>181</v>
      </c>
      <c r="C37" s="11" t="s">
        <v>61</v>
      </c>
      <c r="D37" s="11" t="s">
        <v>27</v>
      </c>
      <c r="E37" s="11" t="s">
        <v>62</v>
      </c>
      <c r="F37" s="13" t="s">
        <v>157</v>
      </c>
      <c r="G37" s="13" t="s">
        <v>37</v>
      </c>
      <c r="H37" s="15" t="s">
        <v>38</v>
      </c>
      <c r="I37" s="13" t="s">
        <v>9</v>
      </c>
      <c r="J37" s="18" t="s">
        <v>63</v>
      </c>
      <c r="K37" s="16">
        <v>1</v>
      </c>
      <c r="L37" s="16">
        <v>2</v>
      </c>
      <c r="M37" s="12" t="s">
        <v>182</v>
      </c>
      <c r="N37" s="12" t="s">
        <v>65</v>
      </c>
      <c r="O37" s="12"/>
    </row>
    <row x14ac:dyDescent="0.25" r="38" customHeight="1" ht="18">
      <c r="A38" s="11" t="s">
        <v>183</v>
      </c>
      <c r="B38" s="12" t="s">
        <v>184</v>
      </c>
      <c r="C38" s="11" t="s">
        <v>61</v>
      </c>
      <c r="D38" s="11" t="s">
        <v>27</v>
      </c>
      <c r="E38" s="11" t="s">
        <v>62</v>
      </c>
      <c r="F38" s="13" t="s">
        <v>157</v>
      </c>
      <c r="G38" s="13" t="s">
        <v>37</v>
      </c>
      <c r="H38" s="15" t="s">
        <v>38</v>
      </c>
      <c r="I38" s="13" t="s">
        <v>9</v>
      </c>
      <c r="J38" s="18" t="s">
        <v>63</v>
      </c>
      <c r="K38" s="16">
        <v>1</v>
      </c>
      <c r="L38" s="16">
        <v>2</v>
      </c>
      <c r="M38" s="12" t="s">
        <v>185</v>
      </c>
      <c r="N38" s="12" t="s">
        <v>65</v>
      </c>
      <c r="O38" s="12"/>
    </row>
    <row x14ac:dyDescent="0.25" r="39" customHeight="1" ht="18">
      <c r="A39" s="11" t="s">
        <v>186</v>
      </c>
      <c r="B39" s="12" t="s">
        <v>187</v>
      </c>
      <c r="C39" s="11" t="s">
        <v>61</v>
      </c>
      <c r="D39" s="11" t="s">
        <v>27</v>
      </c>
      <c r="E39" s="11" t="s">
        <v>62</v>
      </c>
      <c r="F39" s="13" t="s">
        <v>157</v>
      </c>
      <c r="G39" s="13" t="s">
        <v>37</v>
      </c>
      <c r="H39" s="15" t="s">
        <v>38</v>
      </c>
      <c r="I39" s="13" t="s">
        <v>9</v>
      </c>
      <c r="J39" s="18" t="s">
        <v>63</v>
      </c>
      <c r="K39" s="16">
        <v>1</v>
      </c>
      <c r="L39" s="16">
        <v>2</v>
      </c>
      <c r="M39" s="12" t="s">
        <v>188</v>
      </c>
      <c r="N39" s="12" t="s">
        <v>189</v>
      </c>
      <c r="O39" s="12"/>
    </row>
    <row x14ac:dyDescent="0.25" r="40" customHeight="1" ht="18">
      <c r="A40" s="11" t="s">
        <v>190</v>
      </c>
      <c r="B40" s="12" t="s">
        <v>191</v>
      </c>
      <c r="C40" s="11" t="s">
        <v>61</v>
      </c>
      <c r="D40" s="11" t="s">
        <v>91</v>
      </c>
      <c r="E40" s="11" t="s">
        <v>62</v>
      </c>
      <c r="F40" s="13" t="s">
        <v>157</v>
      </c>
      <c r="G40" s="13" t="s">
        <v>37</v>
      </c>
      <c r="H40" s="15" t="s">
        <v>38</v>
      </c>
      <c r="I40" s="13" t="s">
        <v>9</v>
      </c>
      <c r="J40" s="18" t="s">
        <v>63</v>
      </c>
      <c r="K40" s="16">
        <v>1</v>
      </c>
      <c r="L40" s="16">
        <v>2</v>
      </c>
      <c r="M40" s="12" t="s">
        <v>192</v>
      </c>
      <c r="N40" s="12" t="s">
        <v>193</v>
      </c>
      <c r="O40" s="12"/>
    </row>
    <row x14ac:dyDescent="0.25" r="41" customHeight="1" ht="18">
      <c r="A41" s="11" t="s">
        <v>194</v>
      </c>
      <c r="B41" s="12" t="s">
        <v>195</v>
      </c>
      <c r="C41" s="11" t="s">
        <v>26</v>
      </c>
      <c r="D41" s="11" t="s">
        <v>27</v>
      </c>
      <c r="E41" s="11" t="s">
        <v>28</v>
      </c>
      <c r="F41" s="13" t="s">
        <v>157</v>
      </c>
      <c r="G41" s="13" t="s">
        <v>92</v>
      </c>
      <c r="H41" s="20" t="s">
        <v>93</v>
      </c>
      <c r="I41" s="13" t="s">
        <v>5</v>
      </c>
      <c r="J41" s="15" t="s">
        <v>32</v>
      </c>
      <c r="K41" s="16"/>
      <c r="L41" s="16"/>
      <c r="M41" s="12" t="s">
        <v>196</v>
      </c>
      <c r="N41" s="12" t="s">
        <v>197</v>
      </c>
      <c r="O41" s="12" t="s">
        <v>96</v>
      </c>
    </row>
    <row x14ac:dyDescent="0.25" r="42" customHeight="1" ht="18">
      <c r="A42" s="11" t="s">
        <v>198</v>
      </c>
      <c r="B42" s="12" t="s">
        <v>199</v>
      </c>
      <c r="C42" s="11" t="s">
        <v>61</v>
      </c>
      <c r="D42" s="11" t="s">
        <v>27</v>
      </c>
      <c r="E42" s="11" t="s">
        <v>62</v>
      </c>
      <c r="F42" s="13" t="s">
        <v>157</v>
      </c>
      <c r="G42" s="13" t="s">
        <v>92</v>
      </c>
      <c r="H42" s="15" t="s">
        <v>38</v>
      </c>
      <c r="I42" s="13" t="s">
        <v>5</v>
      </c>
      <c r="J42" s="18" t="s">
        <v>63</v>
      </c>
      <c r="K42" s="16">
        <v>1</v>
      </c>
      <c r="L42" s="16">
        <v>3</v>
      </c>
      <c r="M42" s="12" t="s">
        <v>200</v>
      </c>
      <c r="N42" s="12" t="s">
        <v>65</v>
      </c>
      <c r="O42" s="12"/>
    </row>
    <row x14ac:dyDescent="0.25" r="43" customHeight="1" ht="18">
      <c r="A43" s="11" t="s">
        <v>201</v>
      </c>
      <c r="B43" s="12" t="s">
        <v>202</v>
      </c>
      <c r="C43" s="11" t="s">
        <v>61</v>
      </c>
      <c r="D43" s="11" t="s">
        <v>91</v>
      </c>
      <c r="E43" s="11" t="s">
        <v>62</v>
      </c>
      <c r="F43" s="13" t="s">
        <v>157</v>
      </c>
      <c r="G43" s="13" t="s">
        <v>92</v>
      </c>
      <c r="H43" s="15" t="s">
        <v>38</v>
      </c>
      <c r="I43" s="13" t="s">
        <v>5</v>
      </c>
      <c r="J43" s="18" t="s">
        <v>63</v>
      </c>
      <c r="K43" s="16">
        <v>1</v>
      </c>
      <c r="L43" s="16">
        <v>3</v>
      </c>
      <c r="M43" s="12" t="s">
        <v>203</v>
      </c>
      <c r="N43" s="12" t="s">
        <v>204</v>
      </c>
      <c r="O43" s="12"/>
    </row>
    <row x14ac:dyDescent="0.25" r="44" customHeight="1" ht="18">
      <c r="A44" s="11" t="s">
        <v>205</v>
      </c>
      <c r="B44" s="12" t="s">
        <v>206</v>
      </c>
      <c r="C44" s="11" t="s">
        <v>26</v>
      </c>
      <c r="D44" s="11" t="s">
        <v>27</v>
      </c>
      <c r="E44" s="11" t="s">
        <v>28</v>
      </c>
      <c r="F44" s="13" t="s">
        <v>157</v>
      </c>
      <c r="G44" s="13" t="s">
        <v>92</v>
      </c>
      <c r="H44" s="20" t="s">
        <v>93</v>
      </c>
      <c r="I44" s="13" t="s">
        <v>5</v>
      </c>
      <c r="J44" s="15" t="s">
        <v>32</v>
      </c>
      <c r="K44" s="16"/>
      <c r="L44" s="16"/>
      <c r="M44" s="12" t="s">
        <v>207</v>
      </c>
      <c r="N44" s="12" t="s">
        <v>208</v>
      </c>
      <c r="O44" s="12" t="s">
        <v>96</v>
      </c>
    </row>
    <row x14ac:dyDescent="0.25" r="45" customHeight="1" ht="18">
      <c r="A45" s="11" t="s">
        <v>209</v>
      </c>
      <c r="B45" s="12" t="s">
        <v>210</v>
      </c>
      <c r="C45" s="11" t="s">
        <v>26</v>
      </c>
      <c r="D45" s="11" t="s">
        <v>27</v>
      </c>
      <c r="E45" s="11" t="s">
        <v>28</v>
      </c>
      <c r="F45" s="13" t="s">
        <v>157</v>
      </c>
      <c r="G45" s="13" t="s">
        <v>92</v>
      </c>
      <c r="H45" s="14" t="s">
        <v>31</v>
      </c>
      <c r="I45" s="13" t="s">
        <v>5</v>
      </c>
      <c r="J45" s="15" t="s">
        <v>32</v>
      </c>
      <c r="K45" s="16"/>
      <c r="L45" s="16"/>
      <c r="M45" s="12" t="s">
        <v>211</v>
      </c>
      <c r="N45" s="12" t="s">
        <v>212</v>
      </c>
      <c r="O45" s="12"/>
    </row>
    <row x14ac:dyDescent="0.25" r="46" customHeight="1" ht="18">
      <c r="A46" s="11" t="s">
        <v>213</v>
      </c>
      <c r="B46" s="12" t="s">
        <v>214</v>
      </c>
      <c r="C46" s="11" t="s">
        <v>26</v>
      </c>
      <c r="D46" s="11" t="s">
        <v>27</v>
      </c>
      <c r="E46" s="11" t="s">
        <v>28</v>
      </c>
      <c r="F46" s="13" t="s">
        <v>157</v>
      </c>
      <c r="G46" s="13" t="s">
        <v>37</v>
      </c>
      <c r="H46" s="15" t="s">
        <v>38</v>
      </c>
      <c r="I46" s="13" t="s">
        <v>9</v>
      </c>
      <c r="J46" s="17" t="s">
        <v>39</v>
      </c>
      <c r="K46" s="16">
        <v>1</v>
      </c>
      <c r="L46" s="16">
        <v>2</v>
      </c>
      <c r="M46" s="12" t="s">
        <v>215</v>
      </c>
      <c r="N46" s="12" t="s">
        <v>216</v>
      </c>
      <c r="O46" s="12"/>
    </row>
    <row x14ac:dyDescent="0.25" r="47" customHeight="1" ht="18">
      <c r="A47" s="11" t="s">
        <v>217</v>
      </c>
      <c r="B47" s="12" t="s">
        <v>218</v>
      </c>
      <c r="C47" s="11" t="s">
        <v>26</v>
      </c>
      <c r="D47" s="11" t="s">
        <v>27</v>
      </c>
      <c r="E47" s="11" t="s">
        <v>28</v>
      </c>
      <c r="F47" s="13" t="s">
        <v>157</v>
      </c>
      <c r="G47" s="13" t="s">
        <v>30</v>
      </c>
      <c r="H47" s="14" t="s">
        <v>31</v>
      </c>
      <c r="I47" s="13" t="s">
        <v>7</v>
      </c>
      <c r="J47" s="15" t="s">
        <v>32</v>
      </c>
      <c r="K47" s="16"/>
      <c r="L47" s="16"/>
      <c r="M47" s="12" t="s">
        <v>219</v>
      </c>
      <c r="N47" s="12" t="s">
        <v>220</v>
      </c>
      <c r="O47" s="12"/>
    </row>
    <row x14ac:dyDescent="0.25" r="48" customHeight="1" ht="18">
      <c r="A48" s="11" t="s">
        <v>221</v>
      </c>
      <c r="B48" s="12" t="s">
        <v>222</v>
      </c>
      <c r="C48" s="11" t="s">
        <v>52</v>
      </c>
      <c r="D48" s="11" t="s">
        <v>27</v>
      </c>
      <c r="E48" s="11" t="s">
        <v>28</v>
      </c>
      <c r="F48" s="13" t="s">
        <v>157</v>
      </c>
      <c r="G48" s="13" t="s">
        <v>92</v>
      </c>
      <c r="H48" s="20" t="s">
        <v>93</v>
      </c>
      <c r="I48" s="13" t="s">
        <v>5</v>
      </c>
      <c r="J48" s="15" t="s">
        <v>32</v>
      </c>
      <c r="K48" s="16"/>
      <c r="L48" s="16"/>
      <c r="M48" s="12" t="s">
        <v>223</v>
      </c>
      <c r="N48" s="12" t="s">
        <v>224</v>
      </c>
      <c r="O48" s="12" t="s">
        <v>96</v>
      </c>
    </row>
    <row x14ac:dyDescent="0.25" r="49" customHeight="1" ht="18">
      <c r="A49" s="11" t="s">
        <v>225</v>
      </c>
      <c r="B49" s="12" t="s">
        <v>226</v>
      </c>
      <c r="C49" s="11" t="s">
        <v>52</v>
      </c>
      <c r="D49" s="11" t="s">
        <v>27</v>
      </c>
      <c r="E49" s="11" t="s">
        <v>28</v>
      </c>
      <c r="F49" s="13" t="s">
        <v>157</v>
      </c>
      <c r="G49" s="13" t="s">
        <v>30</v>
      </c>
      <c r="H49" s="15" t="s">
        <v>38</v>
      </c>
      <c r="I49" s="13" t="s">
        <v>7</v>
      </c>
      <c r="J49" s="19" t="s">
        <v>86</v>
      </c>
      <c r="K49" s="16">
        <v>4</v>
      </c>
      <c r="L49" s="16">
        <v>8</v>
      </c>
      <c r="M49" s="12" t="s">
        <v>227</v>
      </c>
      <c r="N49" s="12" t="s">
        <v>228</v>
      </c>
      <c r="O49" s="12"/>
    </row>
    <row x14ac:dyDescent="0.25" r="50" customHeight="1" ht="18">
      <c r="A50" s="11" t="s">
        <v>229</v>
      </c>
      <c r="B50" s="12" t="s">
        <v>230</v>
      </c>
      <c r="C50" s="11" t="s">
        <v>52</v>
      </c>
      <c r="D50" s="11" t="s">
        <v>27</v>
      </c>
      <c r="E50" s="11" t="s">
        <v>28</v>
      </c>
      <c r="F50" s="13" t="s">
        <v>157</v>
      </c>
      <c r="G50" s="13" t="s">
        <v>37</v>
      </c>
      <c r="H50" s="15" t="s">
        <v>38</v>
      </c>
      <c r="I50" s="13" t="s">
        <v>9</v>
      </c>
      <c r="J50" s="17" t="s">
        <v>39</v>
      </c>
      <c r="K50" s="16">
        <v>1</v>
      </c>
      <c r="L50" s="16">
        <v>2</v>
      </c>
      <c r="M50" s="12" t="s">
        <v>231</v>
      </c>
      <c r="N50" s="12" t="s">
        <v>232</v>
      </c>
      <c r="O50" s="12"/>
    </row>
    <row x14ac:dyDescent="0.25" r="51" customHeight="1" ht="18">
      <c r="A51" s="11" t="s">
        <v>233</v>
      </c>
      <c r="B51" s="12" t="s">
        <v>234</v>
      </c>
      <c r="C51" s="11" t="s">
        <v>61</v>
      </c>
      <c r="D51" s="11" t="s">
        <v>27</v>
      </c>
      <c r="E51" s="11" t="s">
        <v>62</v>
      </c>
      <c r="F51" s="13" t="s">
        <v>157</v>
      </c>
      <c r="G51" s="13" t="s">
        <v>92</v>
      </c>
      <c r="H51" s="15" t="s">
        <v>38</v>
      </c>
      <c r="I51" s="13" t="s">
        <v>5</v>
      </c>
      <c r="J51" s="18" t="s">
        <v>63</v>
      </c>
      <c r="K51" s="16">
        <v>1</v>
      </c>
      <c r="L51" s="16">
        <v>3</v>
      </c>
      <c r="M51" s="12" t="s">
        <v>235</v>
      </c>
      <c r="N51" s="12" t="s">
        <v>236</v>
      </c>
      <c r="O51" s="12"/>
    </row>
    <row x14ac:dyDescent="0.25" r="52" customHeight="1" ht="18">
      <c r="A52" s="11" t="s">
        <v>237</v>
      </c>
      <c r="B52" s="12" t="s">
        <v>238</v>
      </c>
      <c r="C52" s="11" t="s">
        <v>61</v>
      </c>
      <c r="D52" s="11" t="s">
        <v>27</v>
      </c>
      <c r="E52" s="11" t="s">
        <v>62</v>
      </c>
      <c r="F52" s="13" t="s">
        <v>157</v>
      </c>
      <c r="G52" s="13" t="s">
        <v>30</v>
      </c>
      <c r="H52" s="15" t="s">
        <v>38</v>
      </c>
      <c r="I52" s="13" t="s">
        <v>7</v>
      </c>
      <c r="J52" s="18" t="s">
        <v>63</v>
      </c>
      <c r="K52" s="16">
        <v>4</v>
      </c>
      <c r="L52" s="16">
        <v>8</v>
      </c>
      <c r="M52" s="12" t="s">
        <v>239</v>
      </c>
      <c r="N52" s="12" t="s">
        <v>240</v>
      </c>
      <c r="O52" s="12"/>
    </row>
    <row x14ac:dyDescent="0.25" r="53" customHeight="1" ht="18">
      <c r="A53" s="11" t="s">
        <v>241</v>
      </c>
      <c r="B53" s="12" t="s">
        <v>242</v>
      </c>
      <c r="C53" s="11" t="s">
        <v>61</v>
      </c>
      <c r="D53" s="11" t="s">
        <v>27</v>
      </c>
      <c r="E53" s="11" t="s">
        <v>62</v>
      </c>
      <c r="F53" s="13" t="s">
        <v>157</v>
      </c>
      <c r="G53" s="13" t="s">
        <v>92</v>
      </c>
      <c r="H53" s="15" t="s">
        <v>38</v>
      </c>
      <c r="I53" s="13" t="s">
        <v>5</v>
      </c>
      <c r="J53" s="18" t="s">
        <v>63</v>
      </c>
      <c r="K53" s="16">
        <v>1</v>
      </c>
      <c r="L53" s="16">
        <v>3</v>
      </c>
      <c r="M53" s="12" t="s">
        <v>243</v>
      </c>
      <c r="N53" s="12" t="s">
        <v>244</v>
      </c>
      <c r="O53" s="12"/>
    </row>
    <row x14ac:dyDescent="0.25" r="54" customHeight="1" ht="18">
      <c r="A54" s="11" t="s">
        <v>245</v>
      </c>
      <c r="B54" s="12" t="s">
        <v>246</v>
      </c>
      <c r="C54" s="11" t="s">
        <v>52</v>
      </c>
      <c r="D54" s="11" t="s">
        <v>247</v>
      </c>
      <c r="E54" s="11" t="s">
        <v>248</v>
      </c>
      <c r="F54" s="13" t="s">
        <v>157</v>
      </c>
      <c r="G54" s="13" t="s">
        <v>37</v>
      </c>
      <c r="H54" s="15" t="s">
        <v>38</v>
      </c>
      <c r="I54" s="13" t="s">
        <v>9</v>
      </c>
      <c r="J54" s="18" t="s">
        <v>63</v>
      </c>
      <c r="K54" s="16">
        <v>1</v>
      </c>
      <c r="L54" s="16">
        <v>2</v>
      </c>
      <c r="M54" s="12" t="s">
        <v>249</v>
      </c>
      <c r="N54" s="12" t="s">
        <v>250</v>
      </c>
      <c r="O54" s="12"/>
    </row>
    <row x14ac:dyDescent="0.25" r="55" customHeight="1" ht="18">
      <c r="A55" s="11" t="s">
        <v>251</v>
      </c>
      <c r="B55" s="12" t="s">
        <v>252</v>
      </c>
      <c r="C55" s="11" t="s">
        <v>61</v>
      </c>
      <c r="D55" s="11" t="s">
        <v>247</v>
      </c>
      <c r="E55" s="11" t="s">
        <v>62</v>
      </c>
      <c r="F55" s="13" t="s">
        <v>157</v>
      </c>
      <c r="G55" s="13" t="s">
        <v>37</v>
      </c>
      <c r="H55" s="15" t="s">
        <v>38</v>
      </c>
      <c r="I55" s="13" t="s">
        <v>9</v>
      </c>
      <c r="J55" s="18" t="s">
        <v>63</v>
      </c>
      <c r="K55" s="16">
        <v>1</v>
      </c>
      <c r="L55" s="16">
        <v>2</v>
      </c>
      <c r="M55" s="12" t="s">
        <v>253</v>
      </c>
      <c r="N55" s="12" t="s">
        <v>254</v>
      </c>
      <c r="O55" s="12"/>
    </row>
    <row x14ac:dyDescent="0.25" r="56" customHeight="1" ht="18">
      <c r="A56" s="11" t="s">
        <v>255</v>
      </c>
      <c r="B56" s="12" t="s">
        <v>256</v>
      </c>
      <c r="C56" s="11" t="s">
        <v>61</v>
      </c>
      <c r="D56" s="11" t="s">
        <v>247</v>
      </c>
      <c r="E56" s="11" t="s">
        <v>62</v>
      </c>
      <c r="F56" s="13" t="s">
        <v>157</v>
      </c>
      <c r="G56" s="13" t="s">
        <v>37</v>
      </c>
      <c r="H56" s="15" t="s">
        <v>38</v>
      </c>
      <c r="I56" s="13" t="s">
        <v>9</v>
      </c>
      <c r="J56" s="18" t="s">
        <v>63</v>
      </c>
      <c r="K56" s="16">
        <v>1</v>
      </c>
      <c r="L56" s="16">
        <v>2</v>
      </c>
      <c r="M56" s="12" t="s">
        <v>257</v>
      </c>
      <c r="N56" s="12" t="s">
        <v>258</v>
      </c>
      <c r="O56" s="12"/>
    </row>
    <row x14ac:dyDescent="0.25" r="57" customHeight="1" ht="18">
      <c r="A57" s="11" t="s">
        <v>259</v>
      </c>
      <c r="B57" s="12" t="s">
        <v>260</v>
      </c>
      <c r="C57" s="11" t="s">
        <v>26</v>
      </c>
      <c r="D57" s="11" t="s">
        <v>91</v>
      </c>
      <c r="E57" s="11" t="s">
        <v>28</v>
      </c>
      <c r="F57" s="13" t="s">
        <v>157</v>
      </c>
      <c r="G57" s="13" t="s">
        <v>37</v>
      </c>
      <c r="H57" s="15" t="s">
        <v>38</v>
      </c>
      <c r="I57" s="13" t="s">
        <v>9</v>
      </c>
      <c r="J57" s="17" t="s">
        <v>39</v>
      </c>
      <c r="K57" s="16">
        <v>1</v>
      </c>
      <c r="L57" s="16">
        <v>2</v>
      </c>
      <c r="M57" s="12" t="s">
        <v>261</v>
      </c>
      <c r="N57" s="12" t="s">
        <v>262</v>
      </c>
      <c r="O57" s="12"/>
    </row>
    <row x14ac:dyDescent="0.25" r="58" customHeight="1" ht="18">
      <c r="A58" s="11" t="s">
        <v>263</v>
      </c>
      <c r="B58" s="12" t="s">
        <v>264</v>
      </c>
      <c r="C58" s="11" t="s">
        <v>26</v>
      </c>
      <c r="D58" s="11" t="s">
        <v>91</v>
      </c>
      <c r="E58" s="11" t="s">
        <v>28</v>
      </c>
      <c r="F58" s="13" t="s">
        <v>157</v>
      </c>
      <c r="G58" s="13" t="s">
        <v>37</v>
      </c>
      <c r="H58" s="15" t="s">
        <v>38</v>
      </c>
      <c r="I58" s="13" t="s">
        <v>9</v>
      </c>
      <c r="J58" s="17" t="s">
        <v>39</v>
      </c>
      <c r="K58" s="16">
        <v>1</v>
      </c>
      <c r="L58" s="16">
        <v>2</v>
      </c>
      <c r="M58" s="12" t="s">
        <v>265</v>
      </c>
      <c r="N58" s="12" t="s">
        <v>266</v>
      </c>
      <c r="O58" s="12"/>
    </row>
    <row x14ac:dyDescent="0.25" r="59" customHeight="1" ht="18">
      <c r="A59" s="11" t="s">
        <v>267</v>
      </c>
      <c r="B59" s="12" t="s">
        <v>268</v>
      </c>
      <c r="C59" s="11" t="s">
        <v>26</v>
      </c>
      <c r="D59" s="11" t="s">
        <v>91</v>
      </c>
      <c r="E59" s="11" t="s">
        <v>28</v>
      </c>
      <c r="F59" s="13" t="s">
        <v>157</v>
      </c>
      <c r="G59" s="13" t="s">
        <v>92</v>
      </c>
      <c r="H59" s="20" t="s">
        <v>93</v>
      </c>
      <c r="I59" s="13" t="s">
        <v>5</v>
      </c>
      <c r="J59" s="15" t="s">
        <v>32</v>
      </c>
      <c r="K59" s="16"/>
      <c r="L59" s="16"/>
      <c r="M59" s="12" t="s">
        <v>269</v>
      </c>
      <c r="N59" s="12" t="s">
        <v>270</v>
      </c>
      <c r="O59" s="12" t="s">
        <v>96</v>
      </c>
    </row>
    <row x14ac:dyDescent="0.25" r="60" customHeight="1" ht="18">
      <c r="A60" s="11" t="s">
        <v>271</v>
      </c>
      <c r="B60" s="12" t="s">
        <v>272</v>
      </c>
      <c r="C60" s="11" t="s">
        <v>26</v>
      </c>
      <c r="D60" s="11" t="s">
        <v>91</v>
      </c>
      <c r="E60" s="11" t="s">
        <v>28</v>
      </c>
      <c r="F60" s="13" t="s">
        <v>157</v>
      </c>
      <c r="G60" s="13" t="s">
        <v>37</v>
      </c>
      <c r="H60" s="15" t="s">
        <v>38</v>
      </c>
      <c r="I60" s="13" t="s">
        <v>9</v>
      </c>
      <c r="J60" s="17" t="s">
        <v>39</v>
      </c>
      <c r="K60" s="16">
        <v>1</v>
      </c>
      <c r="L60" s="16">
        <v>2</v>
      </c>
      <c r="M60" s="12" t="s">
        <v>273</v>
      </c>
      <c r="N60" s="12" t="s">
        <v>274</v>
      </c>
      <c r="O60" s="12"/>
    </row>
    <row x14ac:dyDescent="0.25" r="61" customHeight="1" ht="18">
      <c r="A61" s="11" t="s">
        <v>275</v>
      </c>
      <c r="B61" s="12" t="s">
        <v>276</v>
      </c>
      <c r="C61" s="11" t="s">
        <v>61</v>
      </c>
      <c r="D61" s="11" t="s">
        <v>91</v>
      </c>
      <c r="E61" s="11" t="s">
        <v>62</v>
      </c>
      <c r="F61" s="13" t="s">
        <v>157</v>
      </c>
      <c r="G61" s="13" t="s">
        <v>92</v>
      </c>
      <c r="H61" s="15" t="s">
        <v>38</v>
      </c>
      <c r="I61" s="13" t="s">
        <v>5</v>
      </c>
      <c r="J61" s="18" t="s">
        <v>63</v>
      </c>
      <c r="K61" s="16">
        <v>1</v>
      </c>
      <c r="L61" s="16">
        <v>3</v>
      </c>
      <c r="M61" s="12" t="s">
        <v>277</v>
      </c>
      <c r="N61" s="12" t="s">
        <v>278</v>
      </c>
      <c r="O61" s="12"/>
    </row>
    <row x14ac:dyDescent="0.25" r="62" customHeight="1" ht="18">
      <c r="A62" s="11" t="s">
        <v>279</v>
      </c>
      <c r="B62" s="12" t="s">
        <v>280</v>
      </c>
      <c r="C62" s="11" t="s">
        <v>61</v>
      </c>
      <c r="D62" s="11" t="s">
        <v>91</v>
      </c>
      <c r="E62" s="11" t="s">
        <v>62</v>
      </c>
      <c r="F62" s="13" t="s">
        <v>157</v>
      </c>
      <c r="G62" s="13" t="s">
        <v>37</v>
      </c>
      <c r="H62" s="15" t="s">
        <v>38</v>
      </c>
      <c r="I62" s="13" t="s">
        <v>9</v>
      </c>
      <c r="J62" s="18" t="s">
        <v>63</v>
      </c>
      <c r="K62" s="16">
        <v>1</v>
      </c>
      <c r="L62" s="16">
        <v>2</v>
      </c>
      <c r="M62" s="12" t="s">
        <v>281</v>
      </c>
      <c r="N62" s="12" t="s">
        <v>282</v>
      </c>
      <c r="O62" s="12"/>
    </row>
    <row x14ac:dyDescent="0.25" r="63" customHeight="1" ht="18">
      <c r="A63" s="11" t="s">
        <v>283</v>
      </c>
      <c r="B63" s="12" t="s">
        <v>284</v>
      </c>
      <c r="C63" s="11" t="s">
        <v>52</v>
      </c>
      <c r="D63" s="11" t="s">
        <v>247</v>
      </c>
      <c r="E63" s="11" t="s">
        <v>248</v>
      </c>
      <c r="F63" s="13" t="s">
        <v>157</v>
      </c>
      <c r="G63" s="13" t="s">
        <v>37</v>
      </c>
      <c r="H63" s="15" t="s">
        <v>38</v>
      </c>
      <c r="I63" s="13" t="s">
        <v>9</v>
      </c>
      <c r="J63" s="18" t="s">
        <v>63</v>
      </c>
      <c r="K63" s="16">
        <v>1</v>
      </c>
      <c r="L63" s="16">
        <v>2</v>
      </c>
      <c r="M63" s="12" t="s">
        <v>285</v>
      </c>
      <c r="N63" s="12" t="s">
        <v>286</v>
      </c>
      <c r="O63" s="12"/>
    </row>
    <row x14ac:dyDescent="0.25" r="64" customHeight="1" ht="18">
      <c r="A64" s="11" t="s">
        <v>287</v>
      </c>
      <c r="B64" s="12" t="s">
        <v>288</v>
      </c>
      <c r="C64" s="11" t="s">
        <v>52</v>
      </c>
      <c r="D64" s="11" t="s">
        <v>247</v>
      </c>
      <c r="E64" s="11" t="s">
        <v>248</v>
      </c>
      <c r="F64" s="13" t="s">
        <v>157</v>
      </c>
      <c r="G64" s="13" t="s">
        <v>92</v>
      </c>
      <c r="H64" s="20" t="s">
        <v>93</v>
      </c>
      <c r="I64" s="13" t="s">
        <v>5</v>
      </c>
      <c r="J64" s="15" t="s">
        <v>32</v>
      </c>
      <c r="K64" s="16"/>
      <c r="L64" s="16"/>
      <c r="M64" s="12" t="s">
        <v>289</v>
      </c>
      <c r="N64" s="12" t="s">
        <v>290</v>
      </c>
      <c r="O64" s="12" t="s">
        <v>96</v>
      </c>
    </row>
    <row x14ac:dyDescent="0.25" r="65" customHeight="1" ht="18">
      <c r="A65" s="11" t="s">
        <v>291</v>
      </c>
      <c r="B65" s="12" t="s">
        <v>292</v>
      </c>
      <c r="C65" s="11" t="s">
        <v>26</v>
      </c>
      <c r="D65" s="11" t="s">
        <v>27</v>
      </c>
      <c r="E65" s="11" t="s">
        <v>28</v>
      </c>
      <c r="F65" s="13" t="s">
        <v>293</v>
      </c>
      <c r="G65" s="13" t="s">
        <v>92</v>
      </c>
      <c r="H65" s="14" t="s">
        <v>31</v>
      </c>
      <c r="I65" s="13" t="s">
        <v>5</v>
      </c>
      <c r="J65" s="15" t="s">
        <v>32</v>
      </c>
      <c r="K65" s="16"/>
      <c r="L65" s="16"/>
      <c r="M65" s="12" t="s">
        <v>294</v>
      </c>
      <c r="N65" s="12" t="s">
        <v>295</v>
      </c>
      <c r="O65" s="12"/>
    </row>
    <row x14ac:dyDescent="0.25" r="66" customHeight="1" ht="18">
      <c r="A66" s="11" t="s">
        <v>296</v>
      </c>
      <c r="B66" s="12" t="s">
        <v>297</v>
      </c>
      <c r="C66" s="11" t="s">
        <v>52</v>
      </c>
      <c r="D66" s="11" t="s">
        <v>27</v>
      </c>
      <c r="E66" s="11" t="s">
        <v>28</v>
      </c>
      <c r="F66" s="13" t="s">
        <v>293</v>
      </c>
      <c r="G66" s="13" t="s">
        <v>92</v>
      </c>
      <c r="H66" s="20" t="s">
        <v>93</v>
      </c>
      <c r="I66" s="13" t="s">
        <v>5</v>
      </c>
      <c r="J66" s="15" t="s">
        <v>32</v>
      </c>
      <c r="K66" s="16"/>
      <c r="L66" s="16"/>
      <c r="M66" s="12" t="s">
        <v>298</v>
      </c>
      <c r="N66" s="12" t="s">
        <v>299</v>
      </c>
      <c r="O66" s="12" t="s">
        <v>96</v>
      </c>
    </row>
    <row x14ac:dyDescent="0.25" r="67" customHeight="1" ht="18">
      <c r="A67" s="11" t="s">
        <v>300</v>
      </c>
      <c r="B67" s="12" t="s">
        <v>301</v>
      </c>
      <c r="C67" s="11" t="s">
        <v>61</v>
      </c>
      <c r="D67" s="11" t="s">
        <v>27</v>
      </c>
      <c r="E67" s="11" t="s">
        <v>62</v>
      </c>
      <c r="F67" s="13" t="s">
        <v>293</v>
      </c>
      <c r="G67" s="13" t="s">
        <v>30</v>
      </c>
      <c r="H67" s="15" t="s">
        <v>38</v>
      </c>
      <c r="I67" s="13" t="s">
        <v>7</v>
      </c>
      <c r="J67" s="18" t="s">
        <v>63</v>
      </c>
      <c r="K67" s="16">
        <v>4</v>
      </c>
      <c r="L67" s="16">
        <v>8</v>
      </c>
      <c r="M67" s="12" t="s">
        <v>302</v>
      </c>
      <c r="N67" s="12" t="s">
        <v>65</v>
      </c>
      <c r="O67" s="12"/>
    </row>
    <row x14ac:dyDescent="0.25" r="68" customHeight="1" ht="18">
      <c r="A68" s="11" t="s">
        <v>303</v>
      </c>
      <c r="B68" s="12" t="s">
        <v>304</v>
      </c>
      <c r="C68" s="11" t="s">
        <v>61</v>
      </c>
      <c r="D68" s="11" t="s">
        <v>27</v>
      </c>
      <c r="E68" s="11" t="s">
        <v>62</v>
      </c>
      <c r="F68" s="13" t="s">
        <v>293</v>
      </c>
      <c r="G68" s="13" t="s">
        <v>92</v>
      </c>
      <c r="H68" s="15" t="s">
        <v>38</v>
      </c>
      <c r="I68" s="13" t="s">
        <v>5</v>
      </c>
      <c r="J68" s="18" t="s">
        <v>63</v>
      </c>
      <c r="K68" s="16">
        <v>1</v>
      </c>
      <c r="L68" s="16">
        <v>3</v>
      </c>
      <c r="M68" s="12" t="s">
        <v>305</v>
      </c>
      <c r="N68" s="12" t="s">
        <v>65</v>
      </c>
      <c r="O68" s="12"/>
    </row>
    <row x14ac:dyDescent="0.25" r="69" customHeight="1" ht="18">
      <c r="A69" s="11" t="s">
        <v>306</v>
      </c>
      <c r="B69" s="12" t="s">
        <v>307</v>
      </c>
      <c r="C69" s="11" t="s">
        <v>61</v>
      </c>
      <c r="D69" s="11" t="s">
        <v>27</v>
      </c>
      <c r="E69" s="11" t="s">
        <v>62</v>
      </c>
      <c r="F69" s="13" t="s">
        <v>293</v>
      </c>
      <c r="G69" s="13" t="s">
        <v>92</v>
      </c>
      <c r="H69" s="15" t="s">
        <v>38</v>
      </c>
      <c r="I69" s="13" t="s">
        <v>5</v>
      </c>
      <c r="J69" s="18" t="s">
        <v>63</v>
      </c>
      <c r="K69" s="16">
        <v>1</v>
      </c>
      <c r="L69" s="16">
        <v>3</v>
      </c>
      <c r="M69" s="12" t="s">
        <v>308</v>
      </c>
      <c r="N69" s="12" t="s">
        <v>309</v>
      </c>
      <c r="O69" s="12"/>
    </row>
    <row x14ac:dyDescent="0.25" r="70" customHeight="1" ht="18">
      <c r="A70" s="11" t="s">
        <v>310</v>
      </c>
      <c r="B70" s="12" t="s">
        <v>311</v>
      </c>
      <c r="C70" s="11" t="s">
        <v>61</v>
      </c>
      <c r="D70" s="11" t="s">
        <v>27</v>
      </c>
      <c r="E70" s="11" t="s">
        <v>62</v>
      </c>
      <c r="F70" s="13" t="s">
        <v>293</v>
      </c>
      <c r="G70" s="13" t="s">
        <v>37</v>
      </c>
      <c r="H70" s="15" t="s">
        <v>38</v>
      </c>
      <c r="I70" s="13" t="s">
        <v>9</v>
      </c>
      <c r="J70" s="18" t="s">
        <v>63</v>
      </c>
      <c r="K70" s="16">
        <v>1</v>
      </c>
      <c r="L70" s="16">
        <v>2</v>
      </c>
      <c r="M70" s="12" t="s">
        <v>312</v>
      </c>
      <c r="N70" s="12" t="s">
        <v>65</v>
      </c>
      <c r="O70" s="12"/>
    </row>
    <row x14ac:dyDescent="0.25" r="71" customHeight="1" ht="18">
      <c r="A71" s="11" t="s">
        <v>313</v>
      </c>
      <c r="B71" s="12" t="s">
        <v>314</v>
      </c>
      <c r="C71" s="11" t="s">
        <v>26</v>
      </c>
      <c r="D71" s="11" t="s">
        <v>27</v>
      </c>
      <c r="E71" s="11" t="s">
        <v>28</v>
      </c>
      <c r="F71" s="13" t="s">
        <v>293</v>
      </c>
      <c r="G71" s="13" t="s">
        <v>37</v>
      </c>
      <c r="H71" s="15" t="s">
        <v>38</v>
      </c>
      <c r="I71" s="13" t="s">
        <v>9</v>
      </c>
      <c r="J71" s="17" t="s">
        <v>39</v>
      </c>
      <c r="K71" s="16">
        <v>1</v>
      </c>
      <c r="L71" s="16">
        <v>2</v>
      </c>
      <c r="M71" s="12" t="s">
        <v>315</v>
      </c>
      <c r="N71" s="12" t="s">
        <v>316</v>
      </c>
      <c r="O71" s="12"/>
    </row>
    <row x14ac:dyDescent="0.25" r="72" customHeight="1" ht="18">
      <c r="A72" s="11" t="s">
        <v>317</v>
      </c>
      <c r="B72" s="12" t="s">
        <v>318</v>
      </c>
      <c r="C72" s="11" t="s">
        <v>26</v>
      </c>
      <c r="D72" s="11" t="s">
        <v>27</v>
      </c>
      <c r="E72" s="11" t="s">
        <v>28</v>
      </c>
      <c r="F72" s="13" t="s">
        <v>293</v>
      </c>
      <c r="G72" s="13" t="s">
        <v>37</v>
      </c>
      <c r="H72" s="15" t="s">
        <v>38</v>
      </c>
      <c r="I72" s="13" t="s">
        <v>9</v>
      </c>
      <c r="J72" s="17" t="s">
        <v>39</v>
      </c>
      <c r="K72" s="16">
        <v>1</v>
      </c>
      <c r="L72" s="16">
        <v>2</v>
      </c>
      <c r="M72" s="12" t="s">
        <v>319</v>
      </c>
      <c r="N72" s="12" t="s">
        <v>320</v>
      </c>
      <c r="O72" s="12"/>
    </row>
    <row x14ac:dyDescent="0.25" r="73" customHeight="1" ht="18">
      <c r="A73" s="11" t="s">
        <v>321</v>
      </c>
      <c r="B73" s="12" t="s">
        <v>322</v>
      </c>
      <c r="C73" s="11" t="s">
        <v>52</v>
      </c>
      <c r="D73" s="11" t="s">
        <v>27</v>
      </c>
      <c r="E73" s="11" t="s">
        <v>28</v>
      </c>
      <c r="F73" s="13" t="s">
        <v>293</v>
      </c>
      <c r="G73" s="13" t="s">
        <v>92</v>
      </c>
      <c r="H73" s="20" t="s">
        <v>93</v>
      </c>
      <c r="I73" s="13" t="s">
        <v>5</v>
      </c>
      <c r="J73" s="15" t="s">
        <v>32</v>
      </c>
      <c r="K73" s="16"/>
      <c r="L73" s="16"/>
      <c r="M73" s="12" t="s">
        <v>323</v>
      </c>
      <c r="N73" s="12" t="s">
        <v>324</v>
      </c>
      <c r="O73" s="12" t="s">
        <v>96</v>
      </c>
    </row>
    <row x14ac:dyDescent="0.25" r="74" customHeight="1" ht="18">
      <c r="A74" s="11" t="s">
        <v>325</v>
      </c>
      <c r="B74" s="12" t="s">
        <v>326</v>
      </c>
      <c r="C74" s="11" t="s">
        <v>52</v>
      </c>
      <c r="D74" s="11" t="s">
        <v>27</v>
      </c>
      <c r="E74" s="11" t="s">
        <v>28</v>
      </c>
      <c r="F74" s="13" t="s">
        <v>293</v>
      </c>
      <c r="G74" s="13" t="s">
        <v>92</v>
      </c>
      <c r="H74" s="20" t="s">
        <v>93</v>
      </c>
      <c r="I74" s="13" t="s">
        <v>5</v>
      </c>
      <c r="J74" s="15" t="s">
        <v>32</v>
      </c>
      <c r="K74" s="16"/>
      <c r="L74" s="16"/>
      <c r="M74" s="12" t="s">
        <v>327</v>
      </c>
      <c r="N74" s="12" t="s">
        <v>328</v>
      </c>
      <c r="O74" s="12" t="s">
        <v>96</v>
      </c>
    </row>
    <row x14ac:dyDescent="0.25" r="75" customHeight="1" ht="18">
      <c r="A75" s="11" t="s">
        <v>329</v>
      </c>
      <c r="B75" s="12" t="s">
        <v>330</v>
      </c>
      <c r="C75" s="11" t="s">
        <v>61</v>
      </c>
      <c r="D75" s="11" t="s">
        <v>27</v>
      </c>
      <c r="E75" s="11" t="s">
        <v>62</v>
      </c>
      <c r="F75" s="13" t="s">
        <v>293</v>
      </c>
      <c r="G75" s="13" t="s">
        <v>37</v>
      </c>
      <c r="H75" s="15" t="s">
        <v>38</v>
      </c>
      <c r="I75" s="13" t="s">
        <v>9</v>
      </c>
      <c r="J75" s="18" t="s">
        <v>63</v>
      </c>
      <c r="K75" s="16">
        <v>1</v>
      </c>
      <c r="L75" s="16">
        <v>2</v>
      </c>
      <c r="M75" s="12" t="s">
        <v>331</v>
      </c>
      <c r="N75" s="12" t="s">
        <v>65</v>
      </c>
      <c r="O75" s="12"/>
    </row>
    <row x14ac:dyDescent="0.25" r="76" customHeight="1" ht="18">
      <c r="A76" s="11" t="s">
        <v>332</v>
      </c>
      <c r="B76" s="12" t="s">
        <v>333</v>
      </c>
      <c r="C76" s="11" t="s">
        <v>26</v>
      </c>
      <c r="D76" s="11" t="s">
        <v>247</v>
      </c>
      <c r="E76" s="11" t="s">
        <v>248</v>
      </c>
      <c r="F76" s="13" t="s">
        <v>293</v>
      </c>
      <c r="G76" s="13" t="s">
        <v>92</v>
      </c>
      <c r="H76" s="20" t="s">
        <v>93</v>
      </c>
      <c r="I76" s="13" t="s">
        <v>5</v>
      </c>
      <c r="J76" s="15" t="s">
        <v>32</v>
      </c>
      <c r="K76" s="16"/>
      <c r="L76" s="16"/>
      <c r="M76" s="12" t="s">
        <v>334</v>
      </c>
      <c r="N76" s="12" t="s">
        <v>335</v>
      </c>
      <c r="O76" s="12" t="s">
        <v>96</v>
      </c>
    </row>
    <row x14ac:dyDescent="0.25" r="77" customHeight="1" ht="18">
      <c r="A77" s="11" t="s">
        <v>336</v>
      </c>
      <c r="B77" s="12" t="s">
        <v>337</v>
      </c>
      <c r="C77" s="11" t="s">
        <v>26</v>
      </c>
      <c r="D77" s="11" t="s">
        <v>27</v>
      </c>
      <c r="E77" s="11" t="s">
        <v>28</v>
      </c>
      <c r="F77" s="13" t="s">
        <v>293</v>
      </c>
      <c r="G77" s="13" t="s">
        <v>37</v>
      </c>
      <c r="H77" s="15" t="s">
        <v>38</v>
      </c>
      <c r="I77" s="13" t="s">
        <v>9</v>
      </c>
      <c r="J77" s="17" t="s">
        <v>39</v>
      </c>
      <c r="K77" s="16">
        <v>1</v>
      </c>
      <c r="L77" s="16">
        <v>2</v>
      </c>
      <c r="M77" s="12" t="s">
        <v>338</v>
      </c>
      <c r="N77" s="12" t="s">
        <v>339</v>
      </c>
      <c r="O77" s="12"/>
    </row>
    <row x14ac:dyDescent="0.25" r="78" customHeight="1" ht="18">
      <c r="A78" s="11" t="s">
        <v>340</v>
      </c>
      <c r="B78" s="12" t="s">
        <v>341</v>
      </c>
      <c r="C78" s="11" t="s">
        <v>26</v>
      </c>
      <c r="D78" s="11" t="s">
        <v>27</v>
      </c>
      <c r="E78" s="11" t="s">
        <v>28</v>
      </c>
      <c r="F78" s="13" t="s">
        <v>293</v>
      </c>
      <c r="G78" s="13" t="s">
        <v>92</v>
      </c>
      <c r="H78" s="20" t="s">
        <v>93</v>
      </c>
      <c r="I78" s="13" t="s">
        <v>5</v>
      </c>
      <c r="J78" s="15" t="s">
        <v>32</v>
      </c>
      <c r="K78" s="16"/>
      <c r="L78" s="16"/>
      <c r="M78" s="12" t="s">
        <v>342</v>
      </c>
      <c r="N78" s="12" t="s">
        <v>343</v>
      </c>
      <c r="O78" s="12" t="s">
        <v>96</v>
      </c>
    </row>
    <row x14ac:dyDescent="0.25" r="79" customHeight="1" ht="18">
      <c r="A79" s="11" t="s">
        <v>344</v>
      </c>
      <c r="B79" s="12" t="s">
        <v>345</v>
      </c>
      <c r="C79" s="11" t="s">
        <v>52</v>
      </c>
      <c r="D79" s="11" t="s">
        <v>27</v>
      </c>
      <c r="E79" s="11" t="s">
        <v>28</v>
      </c>
      <c r="F79" s="13" t="s">
        <v>293</v>
      </c>
      <c r="G79" s="13" t="s">
        <v>37</v>
      </c>
      <c r="H79" s="15" t="s">
        <v>38</v>
      </c>
      <c r="I79" s="13" t="s">
        <v>9</v>
      </c>
      <c r="J79" s="17" t="s">
        <v>39</v>
      </c>
      <c r="K79" s="16">
        <v>1</v>
      </c>
      <c r="L79" s="16">
        <v>2</v>
      </c>
      <c r="M79" s="12" t="s">
        <v>346</v>
      </c>
      <c r="N79" s="12" t="s">
        <v>347</v>
      </c>
      <c r="O79" s="12"/>
    </row>
    <row x14ac:dyDescent="0.25" r="80" customHeight="1" ht="18">
      <c r="A80" s="11" t="s">
        <v>348</v>
      </c>
      <c r="B80" s="12" t="s">
        <v>349</v>
      </c>
      <c r="C80" s="11" t="s">
        <v>52</v>
      </c>
      <c r="D80" s="11" t="s">
        <v>27</v>
      </c>
      <c r="E80" s="11" t="s">
        <v>28</v>
      </c>
      <c r="F80" s="13" t="s">
        <v>293</v>
      </c>
      <c r="G80" s="13" t="s">
        <v>37</v>
      </c>
      <c r="H80" s="15" t="s">
        <v>38</v>
      </c>
      <c r="I80" s="13" t="s">
        <v>9</v>
      </c>
      <c r="J80" s="17" t="s">
        <v>39</v>
      </c>
      <c r="K80" s="16">
        <v>1</v>
      </c>
      <c r="L80" s="16">
        <v>2</v>
      </c>
      <c r="M80" s="12" t="s">
        <v>350</v>
      </c>
      <c r="N80" s="12" t="s">
        <v>351</v>
      </c>
      <c r="O80" s="12"/>
    </row>
    <row x14ac:dyDescent="0.25" r="81" customHeight="1" ht="18">
      <c r="A81" s="11" t="s">
        <v>352</v>
      </c>
      <c r="B81" s="12" t="s">
        <v>353</v>
      </c>
      <c r="C81" s="11" t="s">
        <v>61</v>
      </c>
      <c r="D81" s="11" t="s">
        <v>27</v>
      </c>
      <c r="E81" s="11" t="s">
        <v>62</v>
      </c>
      <c r="F81" s="13" t="s">
        <v>293</v>
      </c>
      <c r="G81" s="13" t="s">
        <v>37</v>
      </c>
      <c r="H81" s="15" t="s">
        <v>38</v>
      </c>
      <c r="I81" s="13" t="s">
        <v>9</v>
      </c>
      <c r="J81" s="18" t="s">
        <v>63</v>
      </c>
      <c r="K81" s="16">
        <v>1</v>
      </c>
      <c r="L81" s="16">
        <v>2</v>
      </c>
      <c r="M81" s="12" t="s">
        <v>354</v>
      </c>
      <c r="N81" s="12" t="s">
        <v>65</v>
      </c>
      <c r="O81" s="12"/>
    </row>
    <row x14ac:dyDescent="0.25" r="82" customHeight="1" ht="18">
      <c r="A82" s="11" t="s">
        <v>355</v>
      </c>
      <c r="B82" s="12" t="s">
        <v>356</v>
      </c>
      <c r="C82" s="11" t="s">
        <v>61</v>
      </c>
      <c r="D82" s="11" t="s">
        <v>27</v>
      </c>
      <c r="E82" s="11" t="s">
        <v>62</v>
      </c>
      <c r="F82" s="13" t="s">
        <v>293</v>
      </c>
      <c r="G82" s="13" t="s">
        <v>37</v>
      </c>
      <c r="H82" s="15" t="s">
        <v>38</v>
      </c>
      <c r="I82" s="13" t="s">
        <v>9</v>
      </c>
      <c r="J82" s="18" t="s">
        <v>63</v>
      </c>
      <c r="K82" s="16">
        <v>1</v>
      </c>
      <c r="L82" s="16">
        <v>2</v>
      </c>
      <c r="M82" s="12" t="s">
        <v>357</v>
      </c>
      <c r="N82" s="12" t="s">
        <v>65</v>
      </c>
      <c r="O82" s="12"/>
    </row>
    <row x14ac:dyDescent="0.25" r="83" customHeight="1" ht="18">
      <c r="A83" s="11" t="s">
        <v>358</v>
      </c>
      <c r="B83" s="12" t="s">
        <v>359</v>
      </c>
      <c r="C83" s="11" t="s">
        <v>26</v>
      </c>
      <c r="D83" s="11" t="s">
        <v>247</v>
      </c>
      <c r="E83" s="11" t="s">
        <v>248</v>
      </c>
      <c r="F83" s="13" t="s">
        <v>293</v>
      </c>
      <c r="G83" s="13" t="s">
        <v>37</v>
      </c>
      <c r="H83" s="15" t="s">
        <v>38</v>
      </c>
      <c r="I83" s="13" t="s">
        <v>9</v>
      </c>
      <c r="J83" s="18" t="s">
        <v>63</v>
      </c>
      <c r="K83" s="16">
        <v>1</v>
      </c>
      <c r="L83" s="16">
        <v>2</v>
      </c>
      <c r="M83" s="12" t="s">
        <v>360</v>
      </c>
      <c r="N83" s="12" t="s">
        <v>361</v>
      </c>
      <c r="O83" s="12"/>
    </row>
    <row x14ac:dyDescent="0.25" r="84" customHeight="1" ht="18">
      <c r="A84" s="11" t="s">
        <v>362</v>
      </c>
      <c r="B84" s="12" t="s">
        <v>363</v>
      </c>
      <c r="C84" s="11" t="s">
        <v>52</v>
      </c>
      <c r="D84" s="11" t="s">
        <v>247</v>
      </c>
      <c r="E84" s="11" t="s">
        <v>248</v>
      </c>
      <c r="F84" s="13" t="s">
        <v>293</v>
      </c>
      <c r="G84" s="13" t="s">
        <v>37</v>
      </c>
      <c r="H84" s="15" t="s">
        <v>38</v>
      </c>
      <c r="I84" s="13" t="s">
        <v>9</v>
      </c>
      <c r="J84" s="18" t="s">
        <v>63</v>
      </c>
      <c r="K84" s="16">
        <v>1</v>
      </c>
      <c r="L84" s="16">
        <v>2</v>
      </c>
      <c r="M84" s="12" t="s">
        <v>364</v>
      </c>
      <c r="N84" s="12" t="s">
        <v>365</v>
      </c>
      <c r="O84" s="12"/>
    </row>
    <row x14ac:dyDescent="0.25" r="85" customHeight="1" ht="18">
      <c r="A85" s="11" t="s">
        <v>366</v>
      </c>
      <c r="B85" s="12" t="s">
        <v>367</v>
      </c>
      <c r="C85" s="11" t="s">
        <v>61</v>
      </c>
      <c r="D85" s="11" t="s">
        <v>247</v>
      </c>
      <c r="E85" s="11" t="s">
        <v>62</v>
      </c>
      <c r="F85" s="13" t="s">
        <v>293</v>
      </c>
      <c r="G85" s="13" t="s">
        <v>37</v>
      </c>
      <c r="H85" s="15" t="s">
        <v>38</v>
      </c>
      <c r="I85" s="13" t="s">
        <v>9</v>
      </c>
      <c r="J85" s="18" t="s">
        <v>63</v>
      </c>
      <c r="K85" s="16">
        <v>1</v>
      </c>
      <c r="L85" s="16">
        <v>2</v>
      </c>
      <c r="M85" s="12" t="s">
        <v>368</v>
      </c>
      <c r="N85" s="12" t="s">
        <v>369</v>
      </c>
      <c r="O85" s="12"/>
    </row>
    <row x14ac:dyDescent="0.25" r="86" customHeight="1" ht="18">
      <c r="A86" s="11" t="s">
        <v>370</v>
      </c>
      <c r="B86" s="12" t="s">
        <v>371</v>
      </c>
      <c r="C86" s="11" t="s">
        <v>26</v>
      </c>
      <c r="D86" s="11" t="s">
        <v>372</v>
      </c>
      <c r="E86" s="11" t="s">
        <v>28</v>
      </c>
      <c r="F86" s="13" t="s">
        <v>373</v>
      </c>
      <c r="G86" s="13" t="s">
        <v>92</v>
      </c>
      <c r="H86" s="20" t="s">
        <v>93</v>
      </c>
      <c r="I86" s="13" t="s">
        <v>5</v>
      </c>
      <c r="J86" s="15" t="s">
        <v>32</v>
      </c>
      <c r="K86" s="16"/>
      <c r="L86" s="16"/>
      <c r="M86" s="12" t="s">
        <v>374</v>
      </c>
      <c r="N86" s="12" t="s">
        <v>375</v>
      </c>
      <c r="O86" s="12" t="s">
        <v>96</v>
      </c>
    </row>
    <row x14ac:dyDescent="0.25" r="87" customHeight="1" ht="18">
      <c r="A87" s="11" t="s">
        <v>376</v>
      </c>
      <c r="B87" s="12" t="s">
        <v>377</v>
      </c>
      <c r="C87" s="11" t="s">
        <v>26</v>
      </c>
      <c r="D87" s="11" t="s">
        <v>27</v>
      </c>
      <c r="E87" s="11" t="s">
        <v>28</v>
      </c>
      <c r="F87" s="13" t="s">
        <v>373</v>
      </c>
      <c r="G87" s="13" t="s">
        <v>37</v>
      </c>
      <c r="H87" s="15" t="s">
        <v>38</v>
      </c>
      <c r="I87" s="13" t="s">
        <v>9</v>
      </c>
      <c r="J87" s="17" t="s">
        <v>39</v>
      </c>
      <c r="K87" s="16">
        <v>1</v>
      </c>
      <c r="L87" s="16">
        <v>2</v>
      </c>
      <c r="M87" s="12" t="s">
        <v>378</v>
      </c>
      <c r="N87" s="12" t="s">
        <v>379</v>
      </c>
      <c r="O87" s="12"/>
    </row>
    <row x14ac:dyDescent="0.25" r="88" customHeight="1" ht="18">
      <c r="A88" s="11" t="s">
        <v>380</v>
      </c>
      <c r="B88" s="12" t="s">
        <v>381</v>
      </c>
      <c r="C88" s="11" t="s">
        <v>52</v>
      </c>
      <c r="D88" s="11" t="s">
        <v>91</v>
      </c>
      <c r="E88" s="11" t="s">
        <v>28</v>
      </c>
      <c r="F88" s="13" t="s">
        <v>373</v>
      </c>
      <c r="G88" s="13" t="s">
        <v>37</v>
      </c>
      <c r="H88" s="15" t="s">
        <v>38</v>
      </c>
      <c r="I88" s="13" t="s">
        <v>9</v>
      </c>
      <c r="J88" s="17" t="s">
        <v>39</v>
      </c>
      <c r="K88" s="16">
        <v>1</v>
      </c>
      <c r="L88" s="16">
        <v>2</v>
      </c>
      <c r="M88" s="12" t="s">
        <v>382</v>
      </c>
      <c r="N88" s="12" t="s">
        <v>383</v>
      </c>
      <c r="O88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6" width="26.005" customWidth="1" bestFit="1"/>
    <col min="2" max="2" style="6" width="14.005" customWidth="1" bestFit="1"/>
    <col min="3" max="3" style="6" width="14.005" customWidth="1" bestFit="1"/>
    <col min="4" max="4" style="6" width="14.005" customWidth="1" bestFit="1"/>
    <col min="5" max="5" style="7" width="40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x14ac:dyDescent="0.25" r="2" customHeight="1" ht="18">
      <c r="A2" s="3" t="s">
        <v>5</v>
      </c>
      <c r="B2" s="4">
        <f>COUNTIFS('Coverage Matrix'!I:I,A2,'Coverage Matrix'!H:H,"MDK net-new")</f>
      </c>
      <c r="C2" s="4">
        <f>SUMIFS('Coverage Matrix'!K:K,'Coverage Matrix'!I:I,A2,'Coverage Matrix'!H:H,"MDK net-new")</f>
      </c>
      <c r="D2" s="4">
        <f>SUMIFS('Coverage Matrix'!L:L,'Coverage Matrix'!I:I,A2,'Coverage Matrix'!H:H,"MDK net-new")</f>
      </c>
      <c r="E2" s="5" t="s">
        <v>6</v>
      </c>
    </row>
    <row x14ac:dyDescent="0.25" r="3" customHeight="1" ht="18">
      <c r="A3" s="3" t="s">
        <v>7</v>
      </c>
      <c r="B3" s="4">
        <f>COUNTIFS('Coverage Matrix'!I:I,A3,'Coverage Matrix'!H:H,"MDK net-new")</f>
      </c>
      <c r="C3" s="4">
        <f>SUMIFS('Coverage Matrix'!K:K,'Coverage Matrix'!I:I,A3,'Coverage Matrix'!H:H,"MDK net-new")</f>
      </c>
      <c r="D3" s="4">
        <f>SUMIFS('Coverage Matrix'!L:L,'Coverage Matrix'!I:I,A3,'Coverage Matrix'!H:H,"MDK net-new")</f>
      </c>
      <c r="E3" s="5" t="s">
        <v>8</v>
      </c>
    </row>
    <row x14ac:dyDescent="0.25" r="4" customHeight="1" ht="18">
      <c r="A4" s="3" t="s">
        <v>9</v>
      </c>
      <c r="B4" s="4">
        <f>COUNTIFS('Coverage Matrix'!I:I,A4,'Coverage Matrix'!H:H,"MDK net-new")</f>
      </c>
      <c r="C4" s="4">
        <f>SUMIFS('Coverage Matrix'!K:K,'Coverage Matrix'!I:I,A4,'Coverage Matrix'!H:H,"MDK net-new")</f>
      </c>
      <c r="D4" s="4">
        <f>SUMIFS('Coverage Matrix'!L:L,'Coverage Matrix'!I:I,A4,'Coverage Matrix'!H:H,"MDK net-new")</f>
      </c>
      <c r="E4" s="5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Coverage Matrix</vt:lpstr>
      <vt:lpstr>By Tier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2026-06-24T02:13:16.604Z</dcterms:created>
  <dcterms:modified xsi:type="dcterms:W3CDTF">2026-06-24T02:13:16.604Z</dcterms:modified>
</cp:coreProperties>
</file>